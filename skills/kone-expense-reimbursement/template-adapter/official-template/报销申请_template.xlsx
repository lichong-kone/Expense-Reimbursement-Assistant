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one-my.sharepoint.com/personal/chong_li_kone_com/Documents/桌面/"/>
    </mc:Choice>
  </mc:AlternateContent>
  <xr:revisionPtr revIDLastSave="0" documentId="8_{5843D53F-C150-4831-B47F-3B2B8A4431AA}" xr6:coauthVersionLast="47" xr6:coauthVersionMax="47" xr10:uidLastSave="{00000000-0000-0000-0000-000000000000}"/>
  <bookViews>
    <workbookView xWindow="-120" yWindow="-16320" windowWidth="29040" windowHeight="15720" xr2:uid="{5B3B27A4-88F5-49DA-B5C9-F0E8FFF89397}"/>
  </bookViews>
  <sheets>
    <sheet name="Expenses Claim费用报销单" sheetId="3" r:id="rId1"/>
  </sheets>
  <definedNames>
    <definedName name="_xlnm._FilterDatabase" localSheetId="0" hidden="1">'Expenses Claim费用报销单'!$A$1:$L$31</definedName>
    <definedName name="_xlnm.Print_Area" localSheetId="0">'Expenses Claim费用报销单'!$A$1:$R$43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3" l="1"/>
  <c r="K29" i="3"/>
  <c r="E14" i="3"/>
  <c r="G14" i="3"/>
  <c r="E15" i="3"/>
  <c r="G15" i="3"/>
  <c r="E18" i="3"/>
  <c r="G18" i="3"/>
  <c r="P29" i="3"/>
  <c r="L29" i="3"/>
  <c r="M29" i="3"/>
  <c r="G4" i="3"/>
  <c r="K13" i="3"/>
  <c r="E20" i="3"/>
  <c r="G20" i="3"/>
  <c r="E19" i="3"/>
  <c r="G19" i="3"/>
  <c r="E17" i="3"/>
  <c r="G17" i="3"/>
  <c r="Q29" i="3"/>
  <c r="O29" i="3"/>
  <c r="N29" i="3"/>
  <c r="E28" i="3"/>
  <c r="E27" i="3"/>
  <c r="E26" i="3"/>
  <c r="E25" i="3"/>
  <c r="E24" i="3"/>
  <c r="E23" i="3"/>
  <c r="E22" i="3"/>
  <c r="E21" i="3"/>
  <c r="G21" i="3"/>
  <c r="E16" i="3"/>
  <c r="G16" i="3"/>
  <c r="I13" i="3"/>
  <c r="M13" i="3"/>
  <c r="J13" i="3"/>
  <c r="N13" i="3"/>
  <c r="L13" i="3"/>
  <c r="O13" i="3"/>
  <c r="J29" i="3"/>
  <c r="G29" i="3"/>
  <c r="E29" i="3"/>
  <c r="E31" i="3"/>
</calcChain>
</file>

<file path=xl/sharedStrings.xml><?xml version="1.0" encoding="utf-8"?>
<sst xmlns="http://schemas.openxmlformats.org/spreadsheetml/2006/main" count="92" uniqueCount="80">
  <si>
    <t>EXPENSES CLAIM FORM</t>
  </si>
  <si>
    <t>Amount in RMB</t>
    <phoneticPr fontId="3" type="noConversion"/>
  </si>
  <si>
    <t>Tickets/Taxi</t>
    <phoneticPr fontId="3" type="noConversion"/>
  </si>
  <si>
    <t>Gift</t>
    <phoneticPr fontId="3" type="noConversion"/>
  </si>
  <si>
    <t>Staff
Welfare</t>
    <phoneticPr fontId="3" type="noConversion"/>
  </si>
  <si>
    <r>
      <rPr>
        <b/>
        <sz val="12"/>
        <rFont val="宋体"/>
        <family val="3"/>
        <charset val="134"/>
      </rPr>
      <t xml:space="preserve">通力电梯有限公司
</t>
    </r>
    <r>
      <rPr>
        <b/>
        <sz val="12"/>
        <rFont val="Arial"/>
        <family val="2"/>
      </rPr>
      <t>KONE Elevators Co.Ltd</t>
    </r>
    <phoneticPr fontId="3" type="noConversion"/>
  </si>
  <si>
    <r>
      <t xml:space="preserve">REMARKS / </t>
    </r>
    <r>
      <rPr>
        <sz val="10"/>
        <rFont val="黑体"/>
        <family val="3"/>
        <charset val="134"/>
      </rPr>
      <t>备注</t>
    </r>
    <r>
      <rPr>
        <sz val="10"/>
        <rFont val="Arial"/>
        <family val="2"/>
      </rPr>
      <t>:</t>
    </r>
    <phoneticPr fontId="3" type="noConversion"/>
  </si>
  <si>
    <t>Hotel</t>
    <phoneticPr fontId="3" type="noConversion"/>
  </si>
  <si>
    <t>住宿</t>
    <phoneticPr fontId="3" type="noConversion"/>
  </si>
  <si>
    <t>TravelExp.
Others</t>
    <phoneticPr fontId="3" type="noConversion"/>
  </si>
  <si>
    <t>Entertainment
(for External)</t>
    <phoneticPr fontId="3" type="noConversion"/>
  </si>
  <si>
    <t>Currency</t>
    <phoneticPr fontId="3" type="noConversion"/>
  </si>
  <si>
    <t>Mobile
Fee</t>
    <phoneticPr fontId="3" type="noConversion"/>
  </si>
  <si>
    <t>Others</t>
    <phoneticPr fontId="3" type="noConversion"/>
  </si>
  <si>
    <t>Date</t>
    <phoneticPr fontId="3" type="noConversion"/>
  </si>
  <si>
    <r>
      <t xml:space="preserve">  </t>
    </r>
    <r>
      <rPr>
        <b/>
        <sz val="16"/>
        <rFont val="黑体"/>
        <family val="3"/>
        <charset val="134"/>
      </rPr>
      <t>费</t>
    </r>
    <r>
      <rPr>
        <b/>
        <sz val="16"/>
        <rFont val="Arial"/>
        <family val="2"/>
      </rPr>
      <t xml:space="preserve"> </t>
    </r>
    <r>
      <rPr>
        <b/>
        <sz val="16"/>
        <rFont val="黑体"/>
        <family val="3"/>
        <charset val="134"/>
      </rPr>
      <t>用</t>
    </r>
    <r>
      <rPr>
        <b/>
        <sz val="16"/>
        <rFont val="Arial"/>
        <family val="2"/>
      </rPr>
      <t xml:space="preserve"> </t>
    </r>
    <r>
      <rPr>
        <b/>
        <sz val="16"/>
        <rFont val="黑体"/>
        <family val="3"/>
        <charset val="134"/>
      </rPr>
      <t>报</t>
    </r>
    <r>
      <rPr>
        <b/>
        <sz val="16"/>
        <rFont val="Arial"/>
        <family val="2"/>
      </rPr>
      <t xml:space="preserve"> </t>
    </r>
    <r>
      <rPr>
        <b/>
        <sz val="16"/>
        <rFont val="黑体"/>
        <family val="3"/>
        <charset val="134"/>
      </rPr>
      <t>销</t>
    </r>
    <r>
      <rPr>
        <b/>
        <sz val="16"/>
        <rFont val="Arial"/>
        <family val="2"/>
      </rPr>
      <t xml:space="preserve"> </t>
    </r>
    <r>
      <rPr>
        <b/>
        <sz val="16"/>
        <rFont val="黑体"/>
        <family val="3"/>
        <charset val="134"/>
      </rPr>
      <t>单</t>
    </r>
    <phoneticPr fontId="3" type="noConversion"/>
  </si>
  <si>
    <r>
      <t>二线员工</t>
    </r>
    <r>
      <rPr>
        <sz val="10"/>
        <color indexed="9"/>
        <rFont val="Arial"/>
        <family val="2"/>
      </rPr>
      <t xml:space="preserve"> Staff</t>
    </r>
  </si>
  <si>
    <r>
      <t>一线员工</t>
    </r>
    <r>
      <rPr>
        <sz val="10"/>
        <color indexed="9"/>
        <rFont val="Arial"/>
        <family val="2"/>
      </rPr>
      <t xml:space="preserve"> Operative</t>
    </r>
  </si>
  <si>
    <t>请正确选择员工类型</t>
    <phoneticPr fontId="11" type="noConversion"/>
  </si>
  <si>
    <t>City</t>
    <phoneticPr fontId="3" type="noConversion"/>
  </si>
  <si>
    <t>Description of Expenses</t>
    <phoneticPr fontId="3" type="noConversion"/>
  </si>
  <si>
    <t>是</t>
    <phoneticPr fontId="3" type="noConversion"/>
  </si>
  <si>
    <t>否</t>
    <phoneticPr fontId="3" type="noConversion"/>
  </si>
  <si>
    <t>Paid by KONE Credit Card or not</t>
    <phoneticPr fontId="3" type="noConversion"/>
  </si>
  <si>
    <t>Amount in
 original currency</t>
    <phoneticPr fontId="3" type="noConversion"/>
  </si>
  <si>
    <t>开支用途</t>
    <phoneticPr fontId="3" type="noConversion"/>
  </si>
  <si>
    <t>发票币种</t>
    <phoneticPr fontId="3" type="noConversion"/>
  </si>
  <si>
    <r>
      <rPr>
        <sz val="12"/>
        <rFont val="黑体"/>
        <family val="3"/>
        <charset val="134"/>
      </rPr>
      <t>日期</t>
    </r>
    <phoneticPr fontId="3" type="noConversion"/>
  </si>
  <si>
    <r>
      <rPr>
        <sz val="12"/>
        <rFont val="黑体"/>
        <family val="3"/>
        <charset val="134"/>
      </rPr>
      <t>城市</t>
    </r>
    <phoneticPr fontId="3" type="noConversion"/>
  </si>
  <si>
    <r>
      <rPr>
        <sz val="12"/>
        <rFont val="黑体"/>
        <family val="3"/>
        <charset val="134"/>
      </rPr>
      <t>发票原币金额</t>
    </r>
    <phoneticPr fontId="3" type="noConversion"/>
  </si>
  <si>
    <r>
      <rPr>
        <sz val="12"/>
        <rFont val="黑体"/>
        <family val="3"/>
        <charset val="134"/>
      </rPr>
      <t>汇率</t>
    </r>
    <phoneticPr fontId="3" type="noConversion"/>
  </si>
  <si>
    <r>
      <rPr>
        <sz val="12"/>
        <rFont val="黑体"/>
        <family val="3"/>
        <charset val="134"/>
      </rPr>
      <t>人民币金额</t>
    </r>
    <phoneticPr fontId="3" type="noConversion"/>
  </si>
  <si>
    <r>
      <t>Employee No./</t>
    </r>
    <r>
      <rPr>
        <sz val="12"/>
        <rFont val="黑体"/>
        <family val="3"/>
        <charset val="134"/>
      </rPr>
      <t>工号</t>
    </r>
    <r>
      <rPr>
        <sz val="12"/>
        <rFont val="Arial"/>
        <family val="2"/>
      </rPr>
      <t>:</t>
    </r>
    <phoneticPr fontId="3" type="noConversion"/>
  </si>
  <si>
    <r>
      <t>Name/</t>
    </r>
    <r>
      <rPr>
        <sz val="12"/>
        <rFont val="黑体"/>
        <family val="3"/>
        <charset val="134"/>
      </rPr>
      <t>姓名</t>
    </r>
    <r>
      <rPr>
        <sz val="12"/>
        <rFont val="Arial"/>
        <family val="2"/>
      </rPr>
      <t xml:space="preserve"> :</t>
    </r>
    <phoneticPr fontId="3" type="noConversion"/>
  </si>
  <si>
    <t>对外业务
招待费</t>
    <phoneticPr fontId="3" type="noConversion"/>
  </si>
  <si>
    <t>是否公司信用卡支付</t>
    <phoneticPr fontId="3" type="noConversion"/>
  </si>
  <si>
    <t>Exchange
Rate</t>
    <phoneticPr fontId="3" type="noConversion"/>
  </si>
  <si>
    <r>
      <t>Apply by/</t>
    </r>
    <r>
      <rPr>
        <sz val="12"/>
        <rFont val="黑体"/>
        <family val="3"/>
        <charset val="134"/>
      </rPr>
      <t>申请人</t>
    </r>
    <r>
      <rPr>
        <sz val="12"/>
        <rFont val="Arial"/>
        <family val="2"/>
      </rPr>
      <t xml:space="preserve"> :</t>
    </r>
    <phoneticPr fontId="3" type="noConversion"/>
  </si>
  <si>
    <r>
      <t>Attested by /</t>
    </r>
    <r>
      <rPr>
        <sz val="12"/>
        <rFont val="黑体"/>
        <family val="3"/>
        <charset val="134"/>
      </rPr>
      <t>审核</t>
    </r>
    <r>
      <rPr>
        <sz val="12"/>
        <rFont val="Arial"/>
        <family val="2"/>
      </rPr>
      <t>:</t>
    </r>
    <phoneticPr fontId="3" type="noConversion"/>
  </si>
  <si>
    <r>
      <t>Approved by/</t>
    </r>
    <r>
      <rPr>
        <sz val="12"/>
        <rFont val="黑体"/>
        <family val="3"/>
        <charset val="134"/>
      </rPr>
      <t>批准</t>
    </r>
    <r>
      <rPr>
        <sz val="12"/>
        <rFont val="Arial"/>
        <family val="2"/>
      </rPr>
      <t xml:space="preserve"> :</t>
    </r>
    <phoneticPr fontId="3" type="noConversion"/>
  </si>
  <si>
    <r>
      <t>Date/</t>
    </r>
    <r>
      <rPr>
        <sz val="12"/>
        <rFont val="黑体"/>
        <family val="3"/>
        <charset val="134"/>
      </rPr>
      <t>日期</t>
    </r>
    <r>
      <rPr>
        <sz val="12"/>
        <rFont val="Arial"/>
        <family val="2"/>
      </rPr>
      <t xml:space="preserve"> :</t>
    </r>
    <phoneticPr fontId="3" type="noConversion"/>
  </si>
  <si>
    <t>其他</t>
    <phoneticPr fontId="3" type="noConversion"/>
  </si>
  <si>
    <r>
      <t>Date/</t>
    </r>
    <r>
      <rPr>
        <sz val="12"/>
        <rFont val="黑体"/>
        <family val="3"/>
        <charset val="134"/>
      </rPr>
      <t>日期</t>
    </r>
    <r>
      <rPr>
        <sz val="12"/>
        <rFont val="Arial"/>
        <family val="2"/>
      </rPr>
      <t xml:space="preserve"> :</t>
    </r>
    <phoneticPr fontId="3" type="noConversion"/>
  </si>
  <si>
    <r>
      <t>If Cash Received by/</t>
    </r>
    <r>
      <rPr>
        <sz val="12"/>
        <rFont val="黑体"/>
        <family val="3"/>
        <charset val="134"/>
      </rPr>
      <t>现金签收：</t>
    </r>
    <phoneticPr fontId="3" type="noConversion"/>
  </si>
  <si>
    <r>
      <t>Employee type /</t>
    </r>
    <r>
      <rPr>
        <sz val="12"/>
        <rFont val="黑体"/>
        <family val="3"/>
        <charset val="134"/>
      </rPr>
      <t>员工类型:</t>
    </r>
    <phoneticPr fontId="3" type="noConversion"/>
  </si>
  <si>
    <r>
      <t>Dept./</t>
    </r>
    <r>
      <rPr>
        <sz val="12"/>
        <rFont val="黑体"/>
        <family val="3"/>
        <charset val="134"/>
      </rPr>
      <t>部门:</t>
    </r>
    <phoneticPr fontId="3" type="noConversion"/>
  </si>
  <si>
    <r>
      <t>Title/</t>
    </r>
    <r>
      <rPr>
        <sz val="12"/>
        <rFont val="黑体"/>
        <family val="3"/>
        <charset val="134"/>
      </rPr>
      <t>职位：</t>
    </r>
    <phoneticPr fontId="3" type="noConversion"/>
  </si>
  <si>
    <r>
      <t>Cost Center/</t>
    </r>
    <r>
      <rPr>
        <sz val="12"/>
        <rFont val="黑体"/>
        <family val="3"/>
        <charset val="134"/>
      </rPr>
      <t>成本中心:</t>
    </r>
    <phoneticPr fontId="3" type="noConversion"/>
  </si>
  <si>
    <r>
      <t>Sales&amp;Activity/</t>
    </r>
    <r>
      <rPr>
        <sz val="12"/>
        <rFont val="黑体"/>
        <family val="3"/>
        <charset val="134"/>
      </rPr>
      <t>项目号及成本号：</t>
    </r>
    <phoneticPr fontId="3" type="noConversion"/>
  </si>
  <si>
    <r>
      <t>Expenses Breakdown</t>
    </r>
    <r>
      <rPr>
        <sz val="11"/>
        <rFont val="黑体"/>
        <family val="3"/>
        <charset val="134"/>
      </rPr>
      <t xml:space="preserve"> 费用支出明细</t>
    </r>
    <phoneticPr fontId="3" type="noConversion"/>
  </si>
  <si>
    <r>
      <t>BusinessTravel</t>
    </r>
    <r>
      <rPr>
        <sz val="11"/>
        <rFont val="黑体"/>
        <family val="3"/>
        <charset val="134"/>
      </rPr>
      <t>差旅费</t>
    </r>
    <phoneticPr fontId="3" type="noConversion"/>
  </si>
  <si>
    <t>车船票/
出租等</t>
    <phoneticPr fontId="3" type="noConversion"/>
  </si>
  <si>
    <t>其它差旅费</t>
    <phoneticPr fontId="3" type="noConversion"/>
  </si>
  <si>
    <t>员工福利</t>
    <phoneticPr fontId="3" type="noConversion"/>
  </si>
  <si>
    <t>礼品费</t>
    <phoneticPr fontId="3" type="noConversion"/>
  </si>
  <si>
    <t>手机费</t>
    <phoneticPr fontId="3" type="noConversion"/>
  </si>
  <si>
    <t>税额</t>
    <phoneticPr fontId="3" type="noConversion"/>
  </si>
  <si>
    <r>
      <t>Sub - Totals/</t>
    </r>
    <r>
      <rPr>
        <sz val="11"/>
        <rFont val="黑体"/>
        <family val="3"/>
        <charset val="134"/>
      </rPr>
      <t>小计</t>
    </r>
    <phoneticPr fontId="3" type="noConversion"/>
  </si>
  <si>
    <r>
      <t xml:space="preserve">Less Advances Received </t>
    </r>
    <r>
      <rPr>
        <sz val="11"/>
        <rFont val="黑体"/>
        <family val="3"/>
        <charset val="134"/>
      </rPr>
      <t>减： 已经收到的预支款</t>
    </r>
    <phoneticPr fontId="3" type="noConversion"/>
  </si>
  <si>
    <r>
      <t xml:space="preserve">Reimbursement Requested  </t>
    </r>
    <r>
      <rPr>
        <sz val="11"/>
        <rFont val="黑体"/>
        <family val="3"/>
        <charset val="134"/>
      </rPr>
      <t>实际申请报销金额</t>
    </r>
    <phoneticPr fontId="3" type="noConversion"/>
  </si>
  <si>
    <r>
      <t>Reviewed by/</t>
    </r>
    <r>
      <rPr>
        <sz val="12"/>
        <rFont val="黑体"/>
        <family val="3"/>
        <charset val="134"/>
      </rPr>
      <t>复核</t>
    </r>
    <r>
      <rPr>
        <sz val="12"/>
        <rFont val="Arial"/>
        <family val="2"/>
      </rPr>
      <t>(Finance)</t>
    </r>
    <phoneticPr fontId="3" type="noConversion"/>
  </si>
  <si>
    <t>VAT Tax</t>
    <phoneticPr fontId="3" type="noConversion"/>
  </si>
  <si>
    <r>
      <t>2. THIS FORM IS TO BE USED NOT ONLY FOR TRAVELLING CLAIMS, ALSO FOR OTHER EXPENSES CLAIMS/</t>
    </r>
    <r>
      <rPr>
        <sz val="8"/>
        <rFont val="黑体"/>
        <family val="3"/>
        <charset val="134"/>
      </rPr>
      <t>此表格不仅用于出差费用报销，也用于其它费用报销</t>
    </r>
    <r>
      <rPr>
        <sz val="8"/>
        <rFont val="Arial"/>
        <family val="2"/>
      </rPr>
      <t>.</t>
    </r>
    <phoneticPr fontId="3" type="noConversion"/>
  </si>
  <si>
    <r>
      <t xml:space="preserve">3.THIS FORM TO BE USED IN KCC,OPERATIVE IN FL SELECT </t>
    </r>
    <r>
      <rPr>
        <sz val="8"/>
        <rFont val="宋体"/>
        <family val="3"/>
        <charset val="134"/>
      </rPr>
      <t>一线员工</t>
    </r>
    <r>
      <rPr>
        <sz val="8"/>
        <rFont val="Arial"/>
        <family val="2"/>
      </rPr>
      <t xml:space="preserve"> OPERATIVE,STAFF IN FL AND ALL SL EMPLYOEE SELECT </t>
    </r>
    <r>
      <rPr>
        <sz val="8"/>
        <rFont val="宋体"/>
        <family val="3"/>
        <charset val="134"/>
      </rPr>
      <t>二线员工</t>
    </r>
    <r>
      <rPr>
        <sz val="8"/>
        <rFont val="Arial"/>
        <family val="2"/>
      </rPr>
      <t xml:space="preserve"> Staff/</t>
    </r>
    <r>
      <rPr>
        <sz val="8"/>
        <rFont val="宋体"/>
        <family val="3"/>
        <charset val="134"/>
      </rPr>
      <t>此表格通用于</t>
    </r>
    <r>
      <rPr>
        <sz val="8"/>
        <rFont val="Arial"/>
        <family val="2"/>
      </rPr>
      <t>KCC</t>
    </r>
    <r>
      <rPr>
        <sz val="8"/>
        <rFont val="宋体"/>
        <family val="3"/>
        <charset val="134"/>
      </rPr>
      <t>，前线一线员工选用</t>
    </r>
    <r>
      <rPr>
        <sz val="8"/>
        <rFont val="Arial"/>
        <family val="2"/>
      </rPr>
      <t xml:space="preserve"> </t>
    </r>
    <r>
      <rPr>
        <sz val="8"/>
        <rFont val="宋体"/>
        <family val="3"/>
        <charset val="134"/>
      </rPr>
      <t>一线员工</t>
    </r>
    <r>
      <rPr>
        <sz val="8"/>
        <rFont val="Arial"/>
        <family val="2"/>
      </rPr>
      <t xml:space="preserve"> OPERATIVE</t>
    </r>
    <r>
      <rPr>
        <sz val="8"/>
        <rFont val="宋体"/>
        <family val="3"/>
        <charset val="134"/>
      </rPr>
      <t>，前线二线员工和所有供应线员工选用</t>
    </r>
    <r>
      <rPr>
        <sz val="8"/>
        <rFont val="Arial"/>
        <family val="2"/>
      </rPr>
      <t xml:space="preserve"> </t>
    </r>
    <r>
      <rPr>
        <sz val="8"/>
        <rFont val="宋体"/>
        <family val="3"/>
        <charset val="134"/>
      </rPr>
      <t>二线员工</t>
    </r>
    <r>
      <rPr>
        <sz val="8"/>
        <rFont val="Arial"/>
        <family val="2"/>
      </rPr>
      <t xml:space="preserve"> STAFF</t>
    </r>
    <phoneticPr fontId="3" type="noConversion"/>
  </si>
  <si>
    <r>
      <t>1. IF YOU RECEIVED VAT SPECIAL INVOICE,PLEASE INPUT NO TAX PRICE AND TAX SEPARATELY/</t>
    </r>
    <r>
      <rPr>
        <sz val="8"/>
        <rFont val="宋体"/>
        <family val="3"/>
        <charset val="134"/>
      </rPr>
      <t>如果收到增值税专用发票，请单独列示不含税价和税额</t>
    </r>
    <phoneticPr fontId="3" type="noConversion"/>
  </si>
  <si>
    <t>二线员工 Staff</t>
  </si>
  <si>
    <t>KCC7060</t>
  </si>
  <si>
    <t>Innovation GCN</t>
    <phoneticPr fontId="3" type="noConversion"/>
  </si>
  <si>
    <t>RMB</t>
    <phoneticPr fontId="3" type="noConversion"/>
  </si>
  <si>
    <r>
      <rPr>
        <sz val="12"/>
        <rFont val="宋体"/>
        <family val="3"/>
        <charset val="134"/>
      </rPr>
      <t>李冲</t>
    </r>
    <r>
      <rPr>
        <sz val="12"/>
        <rFont val="Arial"/>
        <family val="2"/>
      </rPr>
      <t>(Li Chong)</t>
    </r>
    <phoneticPr fontId="3" type="noConversion"/>
  </si>
  <si>
    <t>Senior Concept Engineer</t>
    <phoneticPr fontId="3" type="noConversion"/>
  </si>
  <si>
    <t>苏州</t>
    <phoneticPr fontId="3" type="noConversion"/>
  </si>
  <si>
    <t>家往返车站</t>
    <phoneticPr fontId="3" type="noConversion"/>
  </si>
  <si>
    <t>苏州去上海</t>
    <phoneticPr fontId="3" type="noConversion"/>
  </si>
  <si>
    <t>上海</t>
    <phoneticPr fontId="3" type="noConversion"/>
  </si>
  <si>
    <t>餐饮</t>
    <phoneticPr fontId="3" type="noConversion"/>
  </si>
  <si>
    <t>上海去车站</t>
    <phoneticPr fontId="3" type="noConversion"/>
  </si>
  <si>
    <t>上海回苏州</t>
    <phoneticPr fontId="3" type="noConversion"/>
  </si>
  <si>
    <t>改签</t>
    <phoneticPr fontId="3" type="noConversion"/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</si>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</sst>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3" formatCode="_(* #,##0.00_);_(* \(#,##0.00\);_(* &quot;-&quot;??_);_(@_)"/>
    <numFmt numFmtId="185" formatCode="0.00_ "/>
    <numFmt numFmtId="186" formatCode="#,##0.00_ "/>
    <numFmt numFmtId="189" formatCode="#,##0.0000"/>
  </numFmts>
  <fonts count="30" x14ac:knownFonts="1">
    <font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9"/>
      <name val="宋体"/>
      <family val="3"/>
      <charset val="134"/>
    </font>
    <font>
      <b/>
      <sz val="14"/>
      <name val="Arial"/>
      <family val="2"/>
    </font>
    <font>
      <sz val="10"/>
      <name val="黑体"/>
      <family val="3"/>
      <charset val="134"/>
    </font>
    <font>
      <sz val="8"/>
      <name val="Arial"/>
      <family val="2"/>
    </font>
    <font>
      <sz val="9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b/>
      <sz val="16"/>
      <name val="Arial"/>
      <family val="2"/>
    </font>
    <font>
      <b/>
      <sz val="16"/>
      <name val="黑体"/>
      <family val="3"/>
      <charset val="134"/>
    </font>
    <font>
      <sz val="11"/>
      <name val="Arial"/>
      <family val="2"/>
    </font>
    <font>
      <sz val="11"/>
      <name val="黑体"/>
      <family val="3"/>
      <charset val="134"/>
    </font>
    <font>
      <sz val="10"/>
      <color indexed="9"/>
      <name val="Arial"/>
      <family val="2"/>
    </font>
    <font>
      <sz val="8"/>
      <name val="黑体"/>
      <family val="3"/>
      <charset val="134"/>
    </font>
    <font>
      <sz val="8"/>
      <name val="宋体"/>
      <family val="3"/>
      <charset val="134"/>
    </font>
    <font>
      <sz val="9"/>
      <name val="黑体"/>
      <family val="3"/>
      <charset val="134"/>
    </font>
    <font>
      <sz val="12"/>
      <name val="Arial"/>
      <family val="2"/>
    </font>
    <font>
      <sz val="12"/>
      <name val="黑体"/>
      <family val="3"/>
      <charset val="134"/>
    </font>
    <font>
      <sz val="8.5"/>
      <name val="Arial"/>
      <family val="2"/>
    </font>
    <font>
      <sz val="8"/>
      <name val="宋体"/>
      <family val="3"/>
      <charset val="134"/>
    </font>
    <font>
      <sz val="12"/>
      <name val="宋体"/>
      <family val="3"/>
      <charset val="134"/>
    </font>
    <font>
      <sz val="12"/>
      <name val="Arial"/>
      <family val="2"/>
    </font>
    <font>
      <sz val="12"/>
      <name val="Arial"/>
      <family val="2"/>
    </font>
    <font>
      <sz val="10"/>
      <name val="宋体"/>
      <family val="3"/>
      <charset val="134"/>
    </font>
    <font>
      <sz val="10"/>
      <color theme="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83" fontId="1" fillId="0" borderId="0" applyFont="0" applyFill="0" applyBorder="0" applyAlignment="0" applyProtection="0"/>
    <xf numFmtId="0" fontId="2" fillId="0" borderId="0"/>
  </cellStyleXfs>
  <cellXfs count="182">
    <xf numFmtId="0" fontId="0" fillId="0" borderId="0" xfId="0"/>
    <xf numFmtId="0" fontId="2" fillId="2" borderId="1" xfId="2" applyFont="1" applyFill="1" applyBorder="1" applyAlignment="1" applyProtection="1">
      <alignment horizontal="center" vertical="center"/>
    </xf>
    <xf numFmtId="185" fontId="2" fillId="2" borderId="0" xfId="2" applyNumberFormat="1" applyFont="1" applyFill="1" applyBorder="1" applyAlignment="1" applyProtection="1">
      <alignment horizontal="center"/>
    </xf>
    <xf numFmtId="0" fontId="2" fillId="2" borderId="0" xfId="2" applyFont="1" applyFill="1" applyBorder="1" applyAlignment="1" applyProtection="1">
      <alignment horizontal="center" wrapText="1"/>
    </xf>
    <xf numFmtId="0" fontId="2" fillId="2" borderId="0" xfId="2" applyFont="1" applyFill="1" applyBorder="1" applyAlignment="1" applyProtection="1">
      <alignment horizontal="center"/>
    </xf>
    <xf numFmtId="0" fontId="2" fillId="2" borderId="0" xfId="2" applyFont="1" applyFill="1" applyProtection="1"/>
    <xf numFmtId="0" fontId="4" fillId="2" borderId="0" xfId="2" applyFont="1" applyFill="1" applyProtection="1"/>
    <xf numFmtId="0" fontId="2" fillId="2" borderId="0" xfId="2" applyFont="1" applyFill="1" applyProtection="1">
      <protection locked="0"/>
    </xf>
    <xf numFmtId="0" fontId="2" fillId="2" borderId="2" xfId="2" applyFont="1" applyFill="1" applyBorder="1" applyProtection="1"/>
    <xf numFmtId="17" fontId="2" fillId="2" borderId="3" xfId="2" applyNumberFormat="1" applyFont="1" applyFill="1" applyBorder="1" applyAlignment="1" applyProtection="1">
      <alignment horizontal="center"/>
      <protection locked="0"/>
    </xf>
    <xf numFmtId="4" fontId="2" fillId="2" borderId="0" xfId="2" applyNumberFormat="1" applyFont="1" applyFill="1" applyBorder="1" applyAlignment="1" applyProtection="1">
      <alignment horizontal="center"/>
    </xf>
    <xf numFmtId="17" fontId="2" fillId="2" borderId="4" xfId="2" applyNumberFormat="1" applyFont="1" applyFill="1" applyBorder="1" applyAlignment="1" applyProtection="1">
      <alignment horizontal="center"/>
      <protection locked="0"/>
    </xf>
    <xf numFmtId="0" fontId="2" fillId="2" borderId="4" xfId="2" applyFont="1" applyFill="1" applyBorder="1" applyAlignment="1" applyProtection="1">
      <alignment horizontal="center"/>
      <protection locked="0"/>
    </xf>
    <xf numFmtId="4" fontId="2" fillId="2" borderId="4" xfId="2" applyNumberFormat="1" applyFont="1" applyFill="1" applyBorder="1" applyAlignment="1" applyProtection="1">
      <alignment horizontal="center"/>
      <protection locked="0"/>
    </xf>
    <xf numFmtId="17" fontId="2" fillId="2" borderId="5" xfId="2" applyNumberFormat="1" applyFont="1" applyFill="1" applyBorder="1" applyAlignment="1" applyProtection="1">
      <alignment horizontal="center"/>
      <protection locked="0"/>
    </xf>
    <xf numFmtId="0" fontId="2" fillId="2" borderId="5" xfId="2" applyFont="1" applyFill="1" applyBorder="1" applyAlignment="1" applyProtection="1">
      <alignment horizontal="center"/>
      <protection locked="0"/>
    </xf>
    <xf numFmtId="4" fontId="2" fillId="2" borderId="5" xfId="2" applyNumberFormat="1" applyFont="1" applyFill="1" applyBorder="1" applyAlignment="1" applyProtection="1">
      <alignment horizontal="center"/>
      <protection locked="0"/>
    </xf>
    <xf numFmtId="4" fontId="2" fillId="2" borderId="0" xfId="1" applyNumberFormat="1" applyFont="1" applyFill="1" applyBorder="1" applyAlignment="1" applyProtection="1">
      <alignment horizontal="center"/>
    </xf>
    <xf numFmtId="0" fontId="2" fillId="2" borderId="0" xfId="2" applyFont="1" applyFill="1" applyBorder="1" applyProtection="1"/>
    <xf numFmtId="0" fontId="7" fillId="2" borderId="0" xfId="2" applyFont="1" applyFill="1" applyBorder="1" applyProtection="1"/>
    <xf numFmtId="0" fontId="2" fillId="2" borderId="0" xfId="2" applyFont="1" applyFill="1" applyAlignment="1" applyProtection="1">
      <alignment horizontal="center"/>
      <protection locked="0"/>
    </xf>
    <xf numFmtId="0" fontId="8" fillId="2" borderId="0" xfId="2" applyFont="1" applyFill="1" applyAlignment="1" applyProtection="1">
      <alignment horizontal="center"/>
      <protection locked="0"/>
    </xf>
    <xf numFmtId="0" fontId="9" fillId="2" borderId="0" xfId="2" applyFont="1" applyFill="1" applyProtection="1">
      <protection locked="0"/>
    </xf>
    <xf numFmtId="0" fontId="13" fillId="2" borderId="0" xfId="2" applyFont="1" applyFill="1" applyProtection="1"/>
    <xf numFmtId="0" fontId="13" fillId="2" borderId="0" xfId="2" applyFont="1" applyFill="1" applyAlignment="1" applyProtection="1"/>
    <xf numFmtId="0" fontId="15" fillId="2" borderId="6" xfId="2" applyFont="1" applyFill="1" applyBorder="1" applyProtection="1"/>
    <xf numFmtId="0" fontId="15" fillId="2" borderId="0" xfId="2" applyFont="1" applyFill="1" applyBorder="1" applyProtection="1"/>
    <xf numFmtId="0" fontId="15" fillId="2" borderId="7" xfId="2" applyFont="1" applyFill="1" applyBorder="1" applyProtection="1"/>
    <xf numFmtId="14" fontId="15" fillId="2" borderId="0" xfId="2" applyNumberFormat="1" applyFont="1" applyFill="1" applyBorder="1" applyProtection="1"/>
    <xf numFmtId="0" fontId="29" fillId="2" borderId="0" xfId="2" applyFont="1" applyFill="1" applyProtection="1"/>
    <xf numFmtId="0" fontId="29" fillId="2" borderId="0" xfId="2" applyFont="1" applyFill="1" applyProtection="1">
      <protection locked="0"/>
    </xf>
    <xf numFmtId="0" fontId="13" fillId="2" borderId="0" xfId="2" applyFont="1" applyFill="1" applyAlignment="1" applyProtection="1">
      <alignment horizontal="right"/>
    </xf>
    <xf numFmtId="186" fontId="2" fillId="2" borderId="8" xfId="2" applyNumberFormat="1" applyFont="1" applyFill="1" applyBorder="1" applyAlignment="1" applyProtection="1">
      <alignment horizontal="center"/>
      <protection locked="0"/>
    </xf>
    <xf numFmtId="4" fontId="2" fillId="2" borderId="9" xfId="1" applyNumberFormat="1" applyFont="1" applyFill="1" applyBorder="1" applyAlignment="1" applyProtection="1">
      <alignment horizontal="center"/>
    </xf>
    <xf numFmtId="0" fontId="6" fillId="2" borderId="0" xfId="2" applyFont="1" applyFill="1" applyBorder="1" applyProtection="1"/>
    <xf numFmtId="0" fontId="15" fillId="2" borderId="9" xfId="2" applyFont="1" applyFill="1" applyBorder="1" applyAlignment="1" applyProtection="1">
      <alignment horizontal="center"/>
    </xf>
    <xf numFmtId="0" fontId="15" fillId="2" borderId="1" xfId="2" applyFont="1" applyFill="1" applyBorder="1" applyAlignment="1" applyProtection="1">
      <alignment horizontal="center" vertical="center"/>
    </xf>
    <xf numFmtId="0" fontId="21" fillId="2" borderId="1" xfId="2" applyFont="1" applyFill="1" applyBorder="1" applyAlignment="1" applyProtection="1">
      <alignment horizontal="center" vertical="center"/>
    </xf>
    <xf numFmtId="0" fontId="21" fillId="2" borderId="10" xfId="2" applyFont="1" applyFill="1" applyBorder="1" applyAlignment="1" applyProtection="1">
      <alignment horizontal="left" vertical="top" wrapText="1"/>
    </xf>
    <xf numFmtId="0" fontId="21" fillId="2" borderId="11" xfId="2" applyFont="1" applyFill="1" applyBorder="1" applyAlignment="1" applyProtection="1">
      <alignment vertical="top" wrapText="1"/>
    </xf>
    <xf numFmtId="0" fontId="15" fillId="2" borderId="2" xfId="2" applyFont="1" applyFill="1" applyBorder="1" applyAlignment="1" applyProtection="1">
      <alignment horizontal="center" vertical="center" wrapText="1"/>
    </xf>
    <xf numFmtId="0" fontId="15" fillId="2" borderId="2" xfId="2" applyFont="1" applyFill="1" applyBorder="1" applyAlignment="1" applyProtection="1">
      <alignment horizontal="center" vertical="center"/>
    </xf>
    <xf numFmtId="0" fontId="15" fillId="2" borderId="1" xfId="2" applyFont="1" applyFill="1" applyBorder="1" applyAlignment="1" applyProtection="1">
      <alignment horizontal="center" vertical="center" shrinkToFit="1"/>
    </xf>
    <xf numFmtId="0" fontId="15" fillId="2" borderId="9" xfId="2" applyFont="1" applyFill="1" applyBorder="1" applyAlignment="1" applyProtection="1">
      <alignment horizontal="center"/>
      <protection locked="0"/>
    </xf>
    <xf numFmtId="0" fontId="15" fillId="2" borderId="12" xfId="2" applyFont="1" applyFill="1" applyBorder="1" applyAlignment="1" applyProtection="1">
      <alignment horizontal="center"/>
    </xf>
    <xf numFmtId="0" fontId="23" fillId="2" borderId="2" xfId="2" applyFont="1" applyFill="1" applyBorder="1" applyAlignment="1" applyProtection="1">
      <alignment horizontal="center" vertical="center" wrapText="1"/>
    </xf>
    <xf numFmtId="0" fontId="23" fillId="2" borderId="2" xfId="2" applyFont="1" applyFill="1" applyBorder="1" applyAlignment="1" applyProtection="1">
      <alignment horizontal="center" vertical="center" wrapText="1" shrinkToFit="1"/>
    </xf>
    <xf numFmtId="0" fontId="21" fillId="2" borderId="10" xfId="2" applyFont="1" applyFill="1" applyBorder="1" applyAlignment="1" applyProtection="1"/>
    <xf numFmtId="0" fontId="21" fillId="2" borderId="13" xfId="2" applyFont="1" applyFill="1" applyBorder="1" applyAlignment="1" applyProtection="1"/>
    <xf numFmtId="0" fontId="21" fillId="2" borderId="6" xfId="2" applyFont="1" applyFill="1" applyBorder="1" applyAlignment="1" applyProtection="1"/>
    <xf numFmtId="0" fontId="21" fillId="2" borderId="13" xfId="2" applyFont="1" applyFill="1" applyBorder="1" applyAlignment="1" applyProtection="1">
      <alignment vertical="top"/>
    </xf>
    <xf numFmtId="0" fontId="21" fillId="2" borderId="6" xfId="2" applyFont="1" applyFill="1" applyBorder="1" applyAlignment="1" applyProtection="1">
      <alignment vertical="top"/>
    </xf>
    <xf numFmtId="0" fontId="21" fillId="2" borderId="10" xfId="2" applyFont="1" applyFill="1" applyBorder="1" applyProtection="1"/>
    <xf numFmtId="0" fontId="21" fillId="2" borderId="13" xfId="2" applyFont="1" applyFill="1" applyBorder="1" applyProtection="1"/>
    <xf numFmtId="0" fontId="21" fillId="2" borderId="12" xfId="2" applyFont="1" applyFill="1" applyBorder="1" applyAlignment="1" applyProtection="1"/>
    <xf numFmtId="0" fontId="21" fillId="2" borderId="14" xfId="2" applyFont="1" applyFill="1" applyBorder="1" applyAlignment="1" applyProtection="1"/>
    <xf numFmtId="0" fontId="21" fillId="2" borderId="7" xfId="2" applyFont="1" applyFill="1" applyBorder="1" applyAlignment="1" applyProtection="1"/>
    <xf numFmtId="0" fontId="21" fillId="2" borderId="12" xfId="2" applyFont="1" applyFill="1" applyBorder="1" applyProtection="1"/>
    <xf numFmtId="0" fontId="21" fillId="2" borderId="14" xfId="2" applyFont="1" applyFill="1" applyBorder="1" applyProtection="1"/>
    <xf numFmtId="0" fontId="2" fillId="2" borderId="1" xfId="2" applyFont="1" applyFill="1" applyBorder="1" applyAlignment="1" applyProtection="1">
      <alignment horizontal="center" vertical="top"/>
    </xf>
    <xf numFmtId="0" fontId="21" fillId="2" borderId="9" xfId="2" applyFont="1" applyFill="1" applyBorder="1" applyAlignment="1" applyProtection="1">
      <alignment horizontal="center" vertical="top"/>
    </xf>
    <xf numFmtId="0" fontId="16" fillId="2" borderId="1" xfId="2" applyFont="1" applyFill="1" applyBorder="1" applyAlignment="1" applyProtection="1">
      <alignment horizontal="center"/>
    </xf>
    <xf numFmtId="0" fontId="5" fillId="2" borderId="1" xfId="2" applyFont="1" applyFill="1" applyBorder="1" applyAlignment="1" applyProtection="1">
      <alignment horizontal="center" wrapText="1" shrinkToFit="1"/>
    </xf>
    <xf numFmtId="0" fontId="16" fillId="2" borderId="15" xfId="2" applyFont="1" applyFill="1" applyBorder="1" applyAlignment="1" applyProtection="1">
      <alignment horizontal="center"/>
    </xf>
    <xf numFmtId="0" fontId="20" fillId="2" borderId="1" xfId="2" applyFont="1" applyFill="1" applyBorder="1" applyAlignment="1" applyProtection="1">
      <alignment horizontal="center" wrapText="1" shrinkToFit="1"/>
    </xf>
    <xf numFmtId="4" fontId="2" fillId="2" borderId="12" xfId="1" applyNumberFormat="1" applyFont="1" applyFill="1" applyBorder="1" applyAlignment="1" applyProtection="1">
      <alignment horizontal="center"/>
    </xf>
    <xf numFmtId="4" fontId="2" fillId="2" borderId="16" xfId="1" applyNumberFormat="1" applyFont="1" applyFill="1" applyBorder="1" applyAlignment="1" applyProtection="1">
      <alignment horizontal="center"/>
    </xf>
    <xf numFmtId="186" fontId="2" fillId="2" borderId="17" xfId="2" applyNumberFormat="1" applyFont="1" applyFill="1" applyBorder="1" applyAlignment="1" applyProtection="1">
      <alignment horizontal="center"/>
      <protection locked="0"/>
    </xf>
    <xf numFmtId="0" fontId="21" fillId="2" borderId="15" xfId="2" applyFont="1" applyFill="1" applyBorder="1" applyAlignment="1" applyProtection="1">
      <protection locked="0"/>
    </xf>
    <xf numFmtId="0" fontId="21" fillId="2" borderId="0" xfId="2" applyFont="1" applyFill="1" applyBorder="1" applyAlignment="1" applyProtection="1">
      <protection locked="0"/>
    </xf>
    <xf numFmtId="0" fontId="21" fillId="2" borderId="18" xfId="2" applyFont="1" applyFill="1" applyBorder="1" applyAlignment="1" applyProtection="1">
      <protection locked="0"/>
    </xf>
    <xf numFmtId="0" fontId="21" fillId="2" borderId="15" xfId="2" applyFont="1" applyFill="1" applyBorder="1" applyAlignment="1" applyProtection="1">
      <alignment vertical="top"/>
      <protection locked="0"/>
    </xf>
    <xf numFmtId="0" fontId="21" fillId="2" borderId="0" xfId="2" applyFont="1" applyFill="1" applyBorder="1" applyAlignment="1" applyProtection="1">
      <alignment vertical="top"/>
      <protection locked="0"/>
    </xf>
    <xf numFmtId="0" fontId="21" fillId="2" borderId="18" xfId="2" applyFont="1" applyFill="1" applyBorder="1" applyAlignment="1" applyProtection="1">
      <alignment vertical="top"/>
      <protection locked="0"/>
    </xf>
    <xf numFmtId="0" fontId="21" fillId="2" borderId="15" xfId="2" applyFont="1" applyFill="1" applyBorder="1" applyProtection="1">
      <protection locked="0"/>
    </xf>
    <xf numFmtId="0" fontId="21" fillId="2" borderId="0" xfId="2" applyFont="1" applyFill="1" applyBorder="1" applyProtection="1">
      <protection locked="0"/>
    </xf>
    <xf numFmtId="0" fontId="15" fillId="2" borderId="18" xfId="2" applyFont="1" applyFill="1" applyBorder="1" applyProtection="1">
      <protection locked="0"/>
    </xf>
    <xf numFmtId="0" fontId="21" fillId="2" borderId="18" xfId="2" applyFont="1" applyFill="1" applyBorder="1" applyProtection="1">
      <protection locked="0"/>
    </xf>
    <xf numFmtId="186" fontId="2" fillId="2" borderId="9" xfId="1" applyNumberFormat="1" applyFont="1" applyFill="1" applyBorder="1" applyAlignment="1" applyProtection="1">
      <alignment horizontal="center"/>
      <protection locked="0"/>
    </xf>
    <xf numFmtId="4" fontId="2" fillId="2" borderId="19" xfId="2" applyNumberFormat="1" applyFont="1" applyFill="1" applyBorder="1" applyAlignment="1" applyProtection="1">
      <alignment horizontal="center"/>
      <protection locked="0"/>
    </xf>
    <xf numFmtId="4" fontId="2" fillId="2" borderId="20" xfId="2" applyNumberFormat="1" applyFont="1" applyFill="1" applyBorder="1" applyAlignment="1" applyProtection="1">
      <alignment horizontal="center"/>
      <protection locked="0"/>
    </xf>
    <xf numFmtId="0" fontId="15" fillId="2" borderId="13" xfId="2" applyFont="1" applyFill="1" applyBorder="1" applyAlignment="1" applyProtection="1">
      <alignment horizontal="center" vertical="center"/>
    </xf>
    <xf numFmtId="0" fontId="15" fillId="2" borderId="0" xfId="2" applyFont="1" applyFill="1" applyBorder="1" applyAlignment="1" applyProtection="1">
      <alignment horizontal="center" vertical="center"/>
    </xf>
    <xf numFmtId="0" fontId="16" fillId="2" borderId="0" xfId="2" applyFont="1" applyFill="1" applyBorder="1" applyAlignment="1" applyProtection="1">
      <alignment horizontal="center"/>
    </xf>
    <xf numFmtId="0" fontId="15" fillId="2" borderId="14" xfId="2" applyFont="1" applyFill="1" applyBorder="1" applyAlignment="1" applyProtection="1">
      <alignment horizontal="center"/>
    </xf>
    <xf numFmtId="4" fontId="2" fillId="2" borderId="21" xfId="2" applyNumberFormat="1" applyFont="1" applyFill="1" applyBorder="1" applyProtection="1">
      <protection locked="0"/>
    </xf>
    <xf numFmtId="4" fontId="2" fillId="2" borderId="22" xfId="2" applyNumberFormat="1" applyFont="1" applyFill="1" applyBorder="1" applyProtection="1">
      <protection locked="0"/>
    </xf>
    <xf numFmtId="4" fontId="2" fillId="2" borderId="14" xfId="1" applyNumberFormat="1" applyFont="1" applyFill="1" applyBorder="1" applyAlignment="1" applyProtection="1">
      <alignment horizontal="center"/>
    </xf>
    <xf numFmtId="4" fontId="2" fillId="2" borderId="23" xfId="2" applyNumberFormat="1" applyFont="1" applyFill="1" applyBorder="1" applyProtection="1">
      <protection locked="0"/>
    </xf>
    <xf numFmtId="4" fontId="2" fillId="2" borderId="24" xfId="2" applyNumberFormat="1" applyFont="1" applyFill="1" applyBorder="1" applyProtection="1">
      <protection locked="0"/>
    </xf>
    <xf numFmtId="4" fontId="2" fillId="2" borderId="25" xfId="2" applyNumberFormat="1" applyFont="1" applyFill="1" applyBorder="1" applyProtection="1">
      <protection locked="0"/>
    </xf>
    <xf numFmtId="0" fontId="15" fillId="2" borderId="10" xfId="2" applyFont="1" applyFill="1" applyBorder="1" applyAlignment="1" applyProtection="1">
      <alignment horizontal="center" vertical="center" wrapText="1"/>
    </xf>
    <xf numFmtId="0" fontId="15" fillId="2" borderId="15" xfId="2" applyFont="1" applyFill="1" applyBorder="1" applyAlignment="1" applyProtection="1">
      <alignment horizontal="center" vertical="center" wrapText="1"/>
    </xf>
    <xf numFmtId="4" fontId="2" fillId="2" borderId="26" xfId="2" applyNumberFormat="1" applyFont="1" applyFill="1" applyBorder="1" applyAlignment="1" applyProtection="1">
      <alignment horizontal="center"/>
      <protection locked="0"/>
    </xf>
    <xf numFmtId="4" fontId="2" fillId="2" borderId="27" xfId="2" applyNumberFormat="1" applyFont="1" applyFill="1" applyBorder="1" applyAlignment="1" applyProtection="1">
      <alignment horizontal="center"/>
      <protection locked="0"/>
    </xf>
    <xf numFmtId="4" fontId="2" fillId="2" borderId="28" xfId="2" applyNumberFormat="1" applyFont="1" applyFill="1" applyBorder="1" applyAlignment="1" applyProtection="1">
      <alignment horizontal="center"/>
      <protection locked="0"/>
    </xf>
    <xf numFmtId="4" fontId="2" fillId="2" borderId="29" xfId="2" applyNumberFormat="1" applyFont="1" applyFill="1" applyBorder="1" applyProtection="1"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24" xfId="0" applyFont="1" applyFill="1" applyBorder="1" applyAlignment="1" applyProtection="1">
      <alignment horizontal="center"/>
      <protection locked="0"/>
    </xf>
    <xf numFmtId="0" fontId="2" fillId="2" borderId="30" xfId="0" applyFont="1" applyFill="1" applyBorder="1" applyAlignment="1" applyProtection="1">
      <alignment horizontal="center"/>
      <protection locked="0"/>
    </xf>
    <xf numFmtId="0" fontId="2" fillId="2" borderId="15" xfId="2" applyFont="1" applyFill="1" applyBorder="1" applyAlignment="1" applyProtection="1">
      <alignment horizontal="center" vertical="center" shrinkToFit="1"/>
    </xf>
    <xf numFmtId="0" fontId="2" fillId="2" borderId="0" xfId="2" applyFont="1" applyFill="1" applyBorder="1" applyAlignment="1" applyProtection="1">
      <alignment horizontal="center" vertical="center" wrapText="1"/>
    </xf>
    <xf numFmtId="0" fontId="5" fillId="2" borderId="0" xfId="2" applyFont="1" applyFill="1" applyBorder="1" applyAlignment="1" applyProtection="1">
      <alignment horizontal="center"/>
    </xf>
    <xf numFmtId="4" fontId="2" fillId="2" borderId="29" xfId="2" applyNumberFormat="1" applyFont="1" applyFill="1" applyBorder="1" applyAlignment="1" applyProtection="1">
      <alignment horizontal="center"/>
      <protection locked="0"/>
    </xf>
    <xf numFmtId="4" fontId="2" fillId="2" borderId="21" xfId="2" applyNumberFormat="1" applyFont="1" applyFill="1" applyBorder="1" applyAlignment="1" applyProtection="1">
      <alignment horizontal="center"/>
      <protection locked="0"/>
    </xf>
    <xf numFmtId="4" fontId="2" fillId="2" borderId="22" xfId="2" applyNumberFormat="1" applyFont="1" applyFill="1" applyBorder="1" applyAlignment="1" applyProtection="1">
      <alignment horizontal="center"/>
      <protection locked="0"/>
    </xf>
    <xf numFmtId="0" fontId="2" fillId="2" borderId="31" xfId="2" applyFont="1" applyFill="1" applyBorder="1" applyAlignment="1" applyProtection="1">
      <alignment horizontal="center" vertical="center"/>
    </xf>
    <xf numFmtId="0" fontId="5" fillId="2" borderId="32" xfId="2" applyFont="1" applyFill="1" applyBorder="1" applyAlignment="1" applyProtection="1">
      <alignment horizontal="center" wrapText="1" shrinkToFit="1"/>
    </xf>
    <xf numFmtId="0" fontId="15" fillId="2" borderId="33" xfId="2" applyFont="1" applyFill="1" applyBorder="1" applyAlignment="1" applyProtection="1">
      <alignment horizontal="center"/>
    </xf>
    <xf numFmtId="4" fontId="2" fillId="2" borderId="33" xfId="1" applyNumberFormat="1" applyFont="1" applyFill="1" applyBorder="1" applyAlignment="1" applyProtection="1">
      <alignment horizontal="center"/>
    </xf>
    <xf numFmtId="0" fontId="2" fillId="2" borderId="10" xfId="2" applyFont="1" applyFill="1" applyBorder="1" applyProtection="1"/>
    <xf numFmtId="0" fontId="2" fillId="2" borderId="15" xfId="2" applyFont="1" applyFill="1" applyBorder="1" applyAlignment="1" applyProtection="1">
      <alignment horizontal="center" vertical="center"/>
    </xf>
    <xf numFmtId="0" fontId="2" fillId="2" borderId="15" xfId="2" applyFont="1" applyFill="1" applyBorder="1" applyAlignment="1" applyProtection="1">
      <alignment horizontal="center" vertical="top"/>
    </xf>
    <xf numFmtId="0" fontId="21" fillId="2" borderId="12" xfId="2" applyFont="1" applyFill="1" applyBorder="1" applyAlignment="1" applyProtection="1">
      <alignment horizontal="center" vertical="top"/>
    </xf>
    <xf numFmtId="186" fontId="2" fillId="2" borderId="34" xfId="2" applyNumberFormat="1" applyFont="1" applyFill="1" applyBorder="1" applyAlignment="1" applyProtection="1">
      <alignment horizontal="center"/>
    </xf>
    <xf numFmtId="186" fontId="2" fillId="2" borderId="8" xfId="2" applyNumberFormat="1" applyFont="1" applyFill="1" applyBorder="1" applyAlignment="1" applyProtection="1">
      <alignment horizontal="center"/>
    </xf>
    <xf numFmtId="186" fontId="2" fillId="2" borderId="17" xfId="2" applyNumberFormat="1" applyFont="1" applyFill="1" applyBorder="1" applyAlignment="1" applyProtection="1">
      <alignment horizontal="center"/>
    </xf>
    <xf numFmtId="4" fontId="2" fillId="2" borderId="12" xfId="1" applyNumberFormat="1" applyFont="1" applyFill="1" applyBorder="1" applyAlignment="1" applyProtection="1">
      <alignment horizontal="center"/>
      <protection locked="0"/>
    </xf>
    <xf numFmtId="0" fontId="2" fillId="2" borderId="6" xfId="2" applyFont="1" applyFill="1" applyBorder="1" applyProtection="1"/>
    <xf numFmtId="0" fontId="21" fillId="2" borderId="18" xfId="2" applyFont="1" applyFill="1" applyBorder="1" applyAlignment="1" applyProtection="1">
      <alignment horizontal="center" vertical="center"/>
    </xf>
    <xf numFmtId="0" fontId="2" fillId="2" borderId="18" xfId="2" applyFont="1" applyFill="1" applyBorder="1" applyAlignment="1" applyProtection="1">
      <alignment horizontal="center" vertical="center"/>
    </xf>
    <xf numFmtId="0" fontId="2" fillId="2" borderId="18" xfId="2" applyFont="1" applyFill="1" applyBorder="1" applyAlignment="1" applyProtection="1">
      <alignment horizontal="center" vertical="top"/>
    </xf>
    <xf numFmtId="0" fontId="21" fillId="2" borderId="7" xfId="2" applyFont="1" applyFill="1" applyBorder="1" applyAlignment="1" applyProtection="1">
      <alignment horizontal="center" vertical="top"/>
    </xf>
    <xf numFmtId="4" fontId="2" fillId="2" borderId="7" xfId="1" applyNumberFormat="1" applyFont="1" applyFill="1" applyBorder="1" applyAlignment="1" applyProtection="1">
      <alignment horizontal="center"/>
      <protection locked="0"/>
    </xf>
    <xf numFmtId="185" fontId="2" fillId="2" borderId="35" xfId="2" applyNumberFormat="1" applyFont="1" applyFill="1" applyBorder="1" applyAlignment="1" applyProtection="1">
      <alignment horizontal="center"/>
      <protection locked="0"/>
    </xf>
    <xf numFmtId="185" fontId="2" fillId="2" borderId="7" xfId="2" applyNumberFormat="1" applyFont="1" applyFill="1" applyBorder="1" applyAlignment="1" applyProtection="1">
      <alignment horizontal="center"/>
      <protection locked="0"/>
    </xf>
    <xf numFmtId="0" fontId="2" fillId="2" borderId="36" xfId="2" applyFont="1" applyFill="1" applyBorder="1" applyProtection="1"/>
    <xf numFmtId="0" fontId="15" fillId="2" borderId="37" xfId="2" applyFont="1" applyFill="1" applyBorder="1" applyAlignment="1" applyProtection="1">
      <alignment horizontal="center" vertical="center" wrapText="1"/>
    </xf>
    <xf numFmtId="0" fontId="2" fillId="2" borderId="37" xfId="2" applyFont="1" applyFill="1" applyBorder="1" applyAlignment="1" applyProtection="1">
      <alignment horizontal="center" vertical="center"/>
    </xf>
    <xf numFmtId="0" fontId="2" fillId="2" borderId="37" xfId="2" applyFont="1" applyFill="1" applyBorder="1" applyAlignment="1" applyProtection="1">
      <alignment horizontal="center" vertical="top"/>
    </xf>
    <xf numFmtId="0" fontId="21" fillId="2" borderId="38" xfId="2" applyFont="1" applyFill="1" applyBorder="1" applyAlignment="1" applyProtection="1">
      <alignment horizontal="center" vertical="top"/>
    </xf>
    <xf numFmtId="189" fontId="2" fillId="2" borderId="39" xfId="2" applyNumberFormat="1" applyFont="1" applyFill="1" applyBorder="1" applyAlignment="1" applyProtection="1">
      <alignment horizontal="center"/>
      <protection locked="0"/>
    </xf>
    <xf numFmtId="189" fontId="2" fillId="2" borderId="40" xfId="2" applyNumberFormat="1" applyFont="1" applyFill="1" applyBorder="1" applyAlignment="1" applyProtection="1">
      <alignment horizontal="center"/>
      <protection locked="0"/>
    </xf>
    <xf numFmtId="189" fontId="2" fillId="2" borderId="41" xfId="2" applyNumberFormat="1" applyFont="1" applyFill="1" applyBorder="1" applyAlignment="1" applyProtection="1">
      <alignment horizontal="center"/>
      <protection locked="0"/>
    </xf>
    <xf numFmtId="4" fontId="2" fillId="2" borderId="38" xfId="2" applyNumberFormat="1" applyFont="1" applyFill="1" applyBorder="1" applyProtection="1">
      <protection locked="0"/>
    </xf>
    <xf numFmtId="4" fontId="2" fillId="2" borderId="38" xfId="2" applyNumberFormat="1" applyFont="1" applyFill="1" applyBorder="1" applyAlignment="1" applyProtection="1">
      <alignment horizontal="right" vertical="center"/>
      <protection locked="0"/>
    </xf>
    <xf numFmtId="0" fontId="15" fillId="2" borderId="1" xfId="2" applyFont="1" applyFill="1" applyBorder="1" applyAlignment="1" applyProtection="1">
      <alignment vertical="center" wrapText="1" shrinkToFit="1"/>
    </xf>
    <xf numFmtId="4" fontId="2" fillId="2" borderId="42" xfId="2" applyNumberFormat="1" applyFont="1" applyFill="1" applyBorder="1" applyAlignment="1" applyProtection="1">
      <alignment horizontal="center"/>
      <protection locked="0"/>
    </xf>
    <xf numFmtId="4" fontId="2" fillId="2" borderId="43" xfId="2" applyNumberFormat="1" applyFont="1" applyFill="1" applyBorder="1" applyAlignment="1" applyProtection="1">
      <alignment horizontal="center"/>
      <protection locked="0"/>
    </xf>
    <xf numFmtId="4" fontId="2" fillId="2" borderId="44" xfId="2" applyNumberFormat="1" applyFont="1" applyFill="1" applyBorder="1" applyAlignment="1" applyProtection="1">
      <alignment horizontal="center"/>
      <protection locked="0"/>
    </xf>
    <xf numFmtId="4" fontId="2" fillId="2" borderId="45" xfId="2" applyNumberFormat="1" applyFont="1" applyFill="1" applyBorder="1" applyAlignment="1" applyProtection="1">
      <alignment horizontal="center"/>
      <protection locked="0"/>
    </xf>
    <xf numFmtId="0" fontId="2" fillId="2" borderId="4" xfId="2" applyFont="1" applyFill="1" applyBorder="1" applyAlignment="1" applyProtection="1">
      <alignment horizontal="center" wrapText="1"/>
      <protection locked="0"/>
    </xf>
    <xf numFmtId="17" fontId="2" fillId="2" borderId="46" xfId="2" applyNumberFormat="1" applyFont="1" applyFill="1" applyBorder="1" applyAlignment="1" applyProtection="1">
      <alignment horizontal="center"/>
      <protection locked="0"/>
    </xf>
    <xf numFmtId="17" fontId="2" fillId="2" borderId="46" xfId="2" applyNumberFormat="1" applyFont="1" applyFill="1" applyBorder="1" applyAlignment="1" applyProtection="1">
      <alignment horizontal="center" wrapText="1"/>
      <protection locked="0"/>
    </xf>
    <xf numFmtId="186" fontId="2" fillId="2" borderId="47" xfId="2" applyNumberFormat="1" applyFont="1" applyFill="1" applyBorder="1" applyAlignment="1" applyProtection="1">
      <alignment horizontal="center"/>
      <protection locked="0"/>
    </xf>
    <xf numFmtId="186" fontId="2" fillId="2" borderId="47" xfId="2" applyNumberFormat="1" applyFont="1" applyFill="1" applyBorder="1" applyAlignment="1" applyProtection="1">
      <alignment horizontal="center"/>
    </xf>
    <xf numFmtId="186" fontId="2" fillId="2" borderId="44" xfId="2" applyNumberFormat="1" applyFont="1" applyFill="1" applyBorder="1" applyAlignment="1" applyProtection="1">
      <alignment horizontal="center"/>
    </xf>
    <xf numFmtId="14" fontId="2" fillId="2" borderId="40" xfId="2" applyNumberFormat="1" applyFont="1" applyFill="1" applyBorder="1" applyAlignment="1" applyProtection="1">
      <alignment horizontal="center"/>
      <protection locked="0"/>
    </xf>
    <xf numFmtId="14" fontId="2" fillId="2" borderId="48" xfId="2" applyNumberFormat="1" applyFont="1" applyFill="1" applyBorder="1" applyAlignment="1" applyProtection="1">
      <alignment horizontal="center"/>
      <protection locked="0"/>
    </xf>
    <xf numFmtId="14" fontId="2" fillId="2" borderId="41" xfId="2" applyNumberFormat="1" applyFont="1" applyFill="1" applyBorder="1" applyAlignment="1" applyProtection="1">
      <alignment horizontal="center"/>
      <protection locked="0"/>
    </xf>
    <xf numFmtId="0" fontId="27" fillId="2" borderId="16" xfId="2" applyFont="1" applyFill="1" applyBorder="1" applyAlignment="1" applyProtection="1">
      <alignment horizontal="center" vertical="center"/>
      <protection locked="0"/>
    </xf>
    <xf numFmtId="17" fontId="28" fillId="2" borderId="4" xfId="2" applyNumberFormat="1" applyFont="1" applyFill="1" applyBorder="1" applyAlignment="1" applyProtection="1">
      <alignment horizontal="center"/>
      <protection locked="0"/>
    </xf>
    <xf numFmtId="0" fontId="28" fillId="2" borderId="4" xfId="2" applyFont="1" applyFill="1" applyBorder="1" applyAlignment="1" applyProtection="1">
      <alignment horizontal="center" wrapText="1"/>
      <protection locked="0"/>
    </xf>
    <xf numFmtId="0" fontId="21" fillId="2" borderId="11" xfId="2" applyFont="1" applyFill="1" applyBorder="1" applyAlignment="1" applyProtection="1">
      <alignment horizontal="left" vertical="top" wrapText="1"/>
      <protection locked="0"/>
    </xf>
    <xf numFmtId="0" fontId="21" fillId="2" borderId="49" xfId="2" applyFont="1" applyFill="1" applyBorder="1" applyAlignment="1" applyProtection="1">
      <alignment horizontal="left" vertical="top" wrapText="1"/>
      <protection locked="0"/>
    </xf>
    <xf numFmtId="0" fontId="21" fillId="2" borderId="35" xfId="2" applyFont="1" applyFill="1" applyBorder="1" applyAlignment="1" applyProtection="1">
      <alignment horizontal="left" vertical="top" wrapText="1"/>
      <protection locked="0"/>
    </xf>
    <xf numFmtId="0" fontId="21" fillId="2" borderId="12" xfId="2" applyFont="1" applyFill="1" applyBorder="1" applyAlignment="1" applyProtection="1">
      <alignment horizontal="left"/>
    </xf>
    <xf numFmtId="0" fontId="21" fillId="2" borderId="14" xfId="2" applyFont="1" applyFill="1" applyBorder="1" applyAlignment="1" applyProtection="1">
      <alignment horizontal="left"/>
    </xf>
    <xf numFmtId="0" fontId="21" fillId="2" borderId="7" xfId="2" applyFont="1" applyFill="1" applyBorder="1" applyAlignment="1" applyProtection="1">
      <alignment horizontal="left"/>
    </xf>
    <xf numFmtId="0" fontId="10" fillId="2" borderId="11" xfId="2" applyFont="1" applyFill="1" applyBorder="1" applyAlignment="1" applyProtection="1">
      <alignment horizontal="left" vertical="top" wrapText="1"/>
      <protection locked="0"/>
    </xf>
    <xf numFmtId="0" fontId="10" fillId="2" borderId="35" xfId="2" applyFont="1" applyFill="1" applyBorder="1" applyAlignment="1" applyProtection="1">
      <alignment horizontal="left" vertical="top" wrapText="1"/>
      <protection locked="0"/>
    </xf>
    <xf numFmtId="0" fontId="21" fillId="2" borderId="11" xfId="2" applyFont="1" applyFill="1" applyBorder="1" applyAlignment="1" applyProtection="1">
      <alignment horizontal="center" vertical="center"/>
      <protection locked="0"/>
    </xf>
    <xf numFmtId="0" fontId="21" fillId="2" borderId="35" xfId="2" applyFont="1" applyFill="1" applyBorder="1" applyAlignment="1" applyProtection="1">
      <alignment horizontal="center" vertical="center"/>
      <protection locked="0"/>
    </xf>
    <xf numFmtId="0" fontId="15" fillId="2" borderId="11" xfId="2" applyFont="1" applyFill="1" applyBorder="1" applyAlignment="1" applyProtection="1">
      <alignment horizontal="left"/>
    </xf>
    <xf numFmtId="0" fontId="15" fillId="2" borderId="49" xfId="2" applyFont="1" applyFill="1" applyBorder="1" applyAlignment="1" applyProtection="1">
      <alignment horizontal="left"/>
    </xf>
    <xf numFmtId="0" fontId="15" fillId="2" borderId="11" xfId="2" applyFont="1" applyFill="1" applyBorder="1" applyAlignment="1" applyProtection="1">
      <alignment horizontal="center"/>
    </xf>
    <xf numFmtId="0" fontId="15" fillId="2" borderId="49" xfId="2" applyFont="1" applyFill="1" applyBorder="1" applyAlignment="1" applyProtection="1">
      <alignment horizontal="center"/>
    </xf>
    <xf numFmtId="0" fontId="15" fillId="2" borderId="35" xfId="2" applyFont="1" applyFill="1" applyBorder="1" applyAlignment="1" applyProtection="1">
      <alignment horizontal="center"/>
    </xf>
    <xf numFmtId="0" fontId="10" fillId="2" borderId="0" xfId="2" applyFont="1" applyFill="1" applyAlignment="1" applyProtection="1">
      <alignment horizontal="left" vertical="top" wrapText="1"/>
    </xf>
    <xf numFmtId="0" fontId="21" fillId="2" borderId="10" xfId="2" applyFont="1" applyFill="1" applyBorder="1" applyAlignment="1" applyProtection="1">
      <alignment horizontal="left" vertical="top" wrapText="1"/>
    </xf>
    <xf numFmtId="0" fontId="21" fillId="2" borderId="6" xfId="2" applyFont="1" applyFill="1" applyBorder="1" applyAlignment="1" applyProtection="1">
      <alignment horizontal="left" vertical="top" wrapText="1"/>
    </xf>
    <xf numFmtId="0" fontId="15" fillId="2" borderId="11" xfId="2" applyFont="1" applyFill="1" applyBorder="1" applyAlignment="1" applyProtection="1">
      <alignment horizontal="center" vertical="center" shrinkToFit="1"/>
    </xf>
    <xf numFmtId="0" fontId="15" fillId="2" borderId="49" xfId="2" applyFont="1" applyFill="1" applyBorder="1" applyAlignment="1" applyProtection="1">
      <alignment horizontal="center" vertical="center" shrinkToFit="1"/>
    </xf>
    <xf numFmtId="0" fontId="21" fillId="2" borderId="49" xfId="2" applyFont="1" applyFill="1" applyBorder="1" applyAlignment="1" applyProtection="1">
      <alignment horizontal="center" vertical="center" wrapText="1"/>
      <protection locked="0"/>
    </xf>
    <xf numFmtId="0" fontId="21" fillId="2" borderId="49" xfId="2" applyFont="1" applyFill="1" applyBorder="1" applyAlignment="1" applyProtection="1">
      <alignment horizontal="center" vertical="center"/>
      <protection locked="0"/>
    </xf>
    <xf numFmtId="0" fontId="21" fillId="2" borderId="11" xfId="2" applyFont="1" applyFill="1" applyBorder="1" applyAlignment="1" applyProtection="1">
      <alignment horizontal="left" vertical="top" wrapText="1"/>
    </xf>
    <xf numFmtId="0" fontId="21" fillId="2" borderId="49" xfId="2" applyFont="1" applyFill="1" applyBorder="1" applyAlignment="1" applyProtection="1">
      <alignment horizontal="left" vertical="top" wrapText="1"/>
    </xf>
    <xf numFmtId="0" fontId="21" fillId="2" borderId="35" xfId="2" applyFont="1" applyFill="1" applyBorder="1" applyAlignment="1" applyProtection="1">
      <alignment horizontal="left" vertical="top" wrapText="1"/>
    </xf>
    <xf numFmtId="0" fontId="15" fillId="2" borderId="11" xfId="2" applyFont="1" applyFill="1" applyBorder="1" applyAlignment="1" applyProtection="1">
      <alignment horizontal="center" vertical="center"/>
    </xf>
    <xf numFmtId="0" fontId="15" fillId="2" borderId="49" xfId="2" applyFont="1" applyFill="1" applyBorder="1" applyAlignment="1" applyProtection="1">
      <alignment horizontal="center" vertical="center"/>
    </xf>
    <xf numFmtId="0" fontId="15" fillId="2" borderId="35" xfId="2" applyFont="1" applyFill="1" applyBorder="1" applyAlignment="1" applyProtection="1">
      <alignment horizontal="center" vertical="center"/>
    </xf>
    <xf numFmtId="0" fontId="10" fillId="2" borderId="0" xfId="2" applyFont="1" applyFill="1" applyAlignment="1" applyProtection="1">
      <alignment horizontal="left"/>
    </xf>
  </cellXfs>
  <cellStyles count="3">
    <cellStyle name="Comma" xfId="1" builtinId="3"/>
    <cellStyle name="Normal" xfId="0" builtinId="0"/>
    <cellStyle name="Normal_Sheet1_1.06_Expenses" xfId="2" xr:uid="{BFEA695E-6E53-4965-B9A2-6FC05C215C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0</xdr:row>
      <xdr:rowOff>38100</xdr:rowOff>
    </xdr:from>
    <xdr:to>
      <xdr:col>17</xdr:col>
      <xdr:colOff>975360</xdr:colOff>
      <xdr:row>2</xdr:row>
      <xdr:rowOff>7620</xdr:rowOff>
    </xdr:to>
    <xdr:grpSp>
      <xdr:nvGrpSpPr>
        <xdr:cNvPr id="14544" name="Group 1">
          <a:extLst>
            <a:ext uri="{FF2B5EF4-FFF2-40B4-BE49-F238E27FC236}">
              <a16:creationId xmlns:a16="http://schemas.microsoft.com/office/drawing/2014/main" id="{826C51F0-6887-7BE7-1B78-6BF396BA3A18}"/>
            </a:ext>
          </a:extLst>
        </xdr:cNvPr>
        <xdr:cNvGrpSpPr>
          <a:grpSpLocks/>
        </xdr:cNvGrpSpPr>
      </xdr:nvGrpSpPr>
      <xdr:grpSpPr bwMode="auto">
        <a:xfrm>
          <a:off x="13884852" y="38100"/>
          <a:ext cx="1149928" cy="594880"/>
          <a:chOff x="2539" y="1988"/>
          <a:chExt cx="682" cy="345"/>
        </a:xfrm>
      </xdr:grpSpPr>
      <xdr:sp macro="" textlink="">
        <xdr:nvSpPr>
          <xdr:cNvPr id="14545" name="Rectangle 2">
            <a:extLst>
              <a:ext uri="{FF2B5EF4-FFF2-40B4-BE49-F238E27FC236}">
                <a16:creationId xmlns:a16="http://schemas.microsoft.com/office/drawing/2014/main" id="{33B991EC-F61B-A11E-580B-0712F8CCE33A}"/>
              </a:ext>
            </a:extLst>
          </xdr:cNvPr>
          <xdr:cNvSpPr>
            <a:spLocks noChangeArrowheads="1"/>
          </xdr:cNvSpPr>
        </xdr:nvSpPr>
        <xdr:spPr bwMode="auto">
          <a:xfrm>
            <a:off x="2539" y="1988"/>
            <a:ext cx="159" cy="345"/>
          </a:xfrm>
          <a:prstGeom prst="rect">
            <a:avLst/>
          </a:prstGeom>
          <a:solidFill>
            <a:srgbClr val="0071B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46" name="Freeform 3">
            <a:extLst>
              <a:ext uri="{FF2B5EF4-FFF2-40B4-BE49-F238E27FC236}">
                <a16:creationId xmlns:a16="http://schemas.microsoft.com/office/drawing/2014/main" id="{B4C36B15-A888-1342-4BD1-6CF94790F85F}"/>
              </a:ext>
            </a:extLst>
          </xdr:cNvPr>
          <xdr:cNvSpPr>
            <a:spLocks/>
          </xdr:cNvSpPr>
        </xdr:nvSpPr>
        <xdr:spPr bwMode="auto">
          <a:xfrm>
            <a:off x="2562" y="2097"/>
            <a:ext cx="122" cy="128"/>
          </a:xfrm>
          <a:custGeom>
            <a:avLst/>
            <a:gdLst>
              <a:gd name="T0" fmla="*/ 122 w 122"/>
              <a:gd name="T1" fmla="*/ 128 h 128"/>
              <a:gd name="T2" fmla="*/ 71 w 122"/>
              <a:gd name="T3" fmla="*/ 60 h 128"/>
              <a:gd name="T4" fmla="*/ 119 w 122"/>
              <a:gd name="T5" fmla="*/ 0 h 128"/>
              <a:gd name="T6" fmla="*/ 78 w 122"/>
              <a:gd name="T7" fmla="*/ 0 h 128"/>
              <a:gd name="T8" fmla="*/ 35 w 122"/>
              <a:gd name="T9" fmla="*/ 56 h 128"/>
              <a:gd name="T10" fmla="*/ 35 w 122"/>
              <a:gd name="T11" fmla="*/ 0 h 128"/>
              <a:gd name="T12" fmla="*/ 0 w 122"/>
              <a:gd name="T13" fmla="*/ 0 h 128"/>
              <a:gd name="T14" fmla="*/ 0 w 122"/>
              <a:gd name="T15" fmla="*/ 128 h 128"/>
              <a:gd name="T16" fmla="*/ 35 w 122"/>
              <a:gd name="T17" fmla="*/ 128 h 128"/>
              <a:gd name="T18" fmla="*/ 35 w 122"/>
              <a:gd name="T19" fmla="*/ 67 h 128"/>
              <a:gd name="T20" fmla="*/ 80 w 122"/>
              <a:gd name="T21" fmla="*/ 128 h 128"/>
              <a:gd name="T22" fmla="*/ 122 w 122"/>
              <a:gd name="T23" fmla="*/ 128 h 128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0" t="0" r="r" b="b"/>
            <a:pathLst>
              <a:path w="122" h="128">
                <a:moveTo>
                  <a:pt x="122" y="128"/>
                </a:moveTo>
                <a:lnTo>
                  <a:pt x="71" y="60"/>
                </a:lnTo>
                <a:lnTo>
                  <a:pt x="119" y="0"/>
                </a:lnTo>
                <a:lnTo>
                  <a:pt x="78" y="0"/>
                </a:lnTo>
                <a:lnTo>
                  <a:pt x="35" y="56"/>
                </a:lnTo>
                <a:lnTo>
                  <a:pt x="35" y="0"/>
                </a:lnTo>
                <a:lnTo>
                  <a:pt x="0" y="0"/>
                </a:lnTo>
                <a:lnTo>
                  <a:pt x="0" y="128"/>
                </a:lnTo>
                <a:lnTo>
                  <a:pt x="35" y="128"/>
                </a:lnTo>
                <a:lnTo>
                  <a:pt x="35" y="67"/>
                </a:lnTo>
                <a:lnTo>
                  <a:pt x="80" y="128"/>
                </a:lnTo>
                <a:lnTo>
                  <a:pt x="122" y="12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4547" name="Rectangle 4">
            <a:extLst>
              <a:ext uri="{FF2B5EF4-FFF2-40B4-BE49-F238E27FC236}">
                <a16:creationId xmlns:a16="http://schemas.microsoft.com/office/drawing/2014/main" id="{A6E6AFD8-60BD-E688-3D20-B4A6BED9F81A}"/>
              </a:ext>
            </a:extLst>
          </xdr:cNvPr>
          <xdr:cNvSpPr>
            <a:spLocks noChangeArrowheads="1"/>
          </xdr:cNvSpPr>
        </xdr:nvSpPr>
        <xdr:spPr bwMode="auto">
          <a:xfrm>
            <a:off x="2888" y="1988"/>
            <a:ext cx="159" cy="345"/>
          </a:xfrm>
          <a:prstGeom prst="rect">
            <a:avLst/>
          </a:prstGeom>
          <a:solidFill>
            <a:srgbClr val="0071B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48" name="Freeform 5">
            <a:extLst>
              <a:ext uri="{FF2B5EF4-FFF2-40B4-BE49-F238E27FC236}">
                <a16:creationId xmlns:a16="http://schemas.microsoft.com/office/drawing/2014/main" id="{A3410974-9ED6-CA5D-4CE5-57EF9EA153C7}"/>
              </a:ext>
            </a:extLst>
          </xdr:cNvPr>
          <xdr:cNvSpPr>
            <a:spLocks/>
          </xdr:cNvSpPr>
        </xdr:nvSpPr>
        <xdr:spPr bwMode="auto">
          <a:xfrm>
            <a:off x="2909" y="2097"/>
            <a:ext cx="116" cy="128"/>
          </a:xfrm>
          <a:custGeom>
            <a:avLst/>
            <a:gdLst>
              <a:gd name="T0" fmla="*/ 84 w 116"/>
              <a:gd name="T1" fmla="*/ 0 h 128"/>
              <a:gd name="T2" fmla="*/ 84 w 116"/>
              <a:gd name="T3" fmla="*/ 62 h 128"/>
              <a:gd name="T4" fmla="*/ 20 w 116"/>
              <a:gd name="T5" fmla="*/ 0 h 128"/>
              <a:gd name="T6" fmla="*/ 0 w 116"/>
              <a:gd name="T7" fmla="*/ 0 h 128"/>
              <a:gd name="T8" fmla="*/ 0 w 116"/>
              <a:gd name="T9" fmla="*/ 128 h 128"/>
              <a:gd name="T10" fmla="*/ 32 w 116"/>
              <a:gd name="T11" fmla="*/ 128 h 128"/>
              <a:gd name="T12" fmla="*/ 32 w 116"/>
              <a:gd name="T13" fmla="*/ 63 h 128"/>
              <a:gd name="T14" fmla="*/ 99 w 116"/>
              <a:gd name="T15" fmla="*/ 128 h 128"/>
              <a:gd name="T16" fmla="*/ 116 w 116"/>
              <a:gd name="T17" fmla="*/ 128 h 128"/>
              <a:gd name="T18" fmla="*/ 116 w 116"/>
              <a:gd name="T19" fmla="*/ 0 h 128"/>
              <a:gd name="T20" fmla="*/ 84 w 116"/>
              <a:gd name="T21" fmla="*/ 0 h 128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0" t="0" r="r" b="b"/>
            <a:pathLst>
              <a:path w="116" h="128">
                <a:moveTo>
                  <a:pt x="84" y="0"/>
                </a:moveTo>
                <a:lnTo>
                  <a:pt x="84" y="62"/>
                </a:lnTo>
                <a:lnTo>
                  <a:pt x="20" y="0"/>
                </a:lnTo>
                <a:lnTo>
                  <a:pt x="0" y="0"/>
                </a:lnTo>
                <a:lnTo>
                  <a:pt x="0" y="128"/>
                </a:lnTo>
                <a:lnTo>
                  <a:pt x="32" y="128"/>
                </a:lnTo>
                <a:lnTo>
                  <a:pt x="32" y="63"/>
                </a:lnTo>
                <a:lnTo>
                  <a:pt x="99" y="128"/>
                </a:lnTo>
                <a:lnTo>
                  <a:pt x="116" y="128"/>
                </a:lnTo>
                <a:lnTo>
                  <a:pt x="116" y="0"/>
                </a:lnTo>
                <a:lnTo>
                  <a:pt x="84" y="0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4549" name="Rectangle 6">
            <a:extLst>
              <a:ext uri="{FF2B5EF4-FFF2-40B4-BE49-F238E27FC236}">
                <a16:creationId xmlns:a16="http://schemas.microsoft.com/office/drawing/2014/main" id="{57379BF6-235A-0015-83E0-5199EF5B7C9C}"/>
              </a:ext>
            </a:extLst>
          </xdr:cNvPr>
          <xdr:cNvSpPr>
            <a:spLocks noChangeArrowheads="1"/>
          </xdr:cNvSpPr>
        </xdr:nvSpPr>
        <xdr:spPr bwMode="auto">
          <a:xfrm>
            <a:off x="2713" y="1988"/>
            <a:ext cx="159" cy="345"/>
          </a:xfrm>
          <a:prstGeom prst="rect">
            <a:avLst/>
          </a:prstGeom>
          <a:solidFill>
            <a:srgbClr val="0071B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50" name="Freeform 7">
            <a:extLst>
              <a:ext uri="{FF2B5EF4-FFF2-40B4-BE49-F238E27FC236}">
                <a16:creationId xmlns:a16="http://schemas.microsoft.com/office/drawing/2014/main" id="{C9A5A89F-CC04-7650-F7DF-2C0BFCD3B9CE}"/>
              </a:ext>
            </a:extLst>
          </xdr:cNvPr>
          <xdr:cNvSpPr>
            <a:spLocks noEditPoints="1"/>
          </xdr:cNvSpPr>
        </xdr:nvSpPr>
        <xdr:spPr bwMode="auto">
          <a:xfrm>
            <a:off x="2724" y="2093"/>
            <a:ext cx="136" cy="134"/>
          </a:xfrm>
          <a:custGeom>
            <a:avLst/>
            <a:gdLst>
              <a:gd name="T0" fmla="*/ 101 w 136"/>
              <a:gd name="T1" fmla="*/ 71 h 134"/>
              <a:gd name="T2" fmla="*/ 100 w 136"/>
              <a:gd name="T3" fmla="*/ 78 h 134"/>
              <a:gd name="T4" fmla="*/ 97 w 136"/>
              <a:gd name="T5" fmla="*/ 85 h 134"/>
              <a:gd name="T6" fmla="*/ 94 w 136"/>
              <a:gd name="T7" fmla="*/ 91 h 134"/>
              <a:gd name="T8" fmla="*/ 87 w 136"/>
              <a:gd name="T9" fmla="*/ 98 h 134"/>
              <a:gd name="T10" fmla="*/ 75 w 136"/>
              <a:gd name="T11" fmla="*/ 103 h 134"/>
              <a:gd name="T12" fmla="*/ 62 w 136"/>
              <a:gd name="T13" fmla="*/ 103 h 134"/>
              <a:gd name="T14" fmla="*/ 55 w 136"/>
              <a:gd name="T15" fmla="*/ 101 h 134"/>
              <a:gd name="T16" fmla="*/ 50 w 136"/>
              <a:gd name="T17" fmla="*/ 98 h 134"/>
              <a:gd name="T18" fmla="*/ 45 w 136"/>
              <a:gd name="T19" fmla="*/ 94 h 134"/>
              <a:gd name="T20" fmla="*/ 41 w 136"/>
              <a:gd name="T21" fmla="*/ 88 h 134"/>
              <a:gd name="T22" fmla="*/ 38 w 136"/>
              <a:gd name="T23" fmla="*/ 82 h 134"/>
              <a:gd name="T24" fmla="*/ 35 w 136"/>
              <a:gd name="T25" fmla="*/ 71 h 134"/>
              <a:gd name="T26" fmla="*/ 35 w 136"/>
              <a:gd name="T27" fmla="*/ 63 h 134"/>
              <a:gd name="T28" fmla="*/ 37 w 136"/>
              <a:gd name="T29" fmla="*/ 56 h 134"/>
              <a:gd name="T30" fmla="*/ 39 w 136"/>
              <a:gd name="T31" fmla="*/ 49 h 134"/>
              <a:gd name="T32" fmla="*/ 43 w 136"/>
              <a:gd name="T33" fmla="*/ 43 h 134"/>
              <a:gd name="T34" fmla="*/ 50 w 136"/>
              <a:gd name="T35" fmla="*/ 36 h 134"/>
              <a:gd name="T36" fmla="*/ 62 w 136"/>
              <a:gd name="T37" fmla="*/ 31 h 134"/>
              <a:gd name="T38" fmla="*/ 75 w 136"/>
              <a:gd name="T39" fmla="*/ 31 h 134"/>
              <a:gd name="T40" fmla="*/ 81 w 136"/>
              <a:gd name="T41" fmla="*/ 33 h 134"/>
              <a:gd name="T42" fmla="*/ 87 w 136"/>
              <a:gd name="T43" fmla="*/ 36 h 134"/>
              <a:gd name="T44" fmla="*/ 92 w 136"/>
              <a:gd name="T45" fmla="*/ 40 h 134"/>
              <a:gd name="T46" fmla="*/ 96 w 136"/>
              <a:gd name="T47" fmla="*/ 46 h 134"/>
              <a:gd name="T48" fmla="*/ 99 w 136"/>
              <a:gd name="T49" fmla="*/ 52 h 134"/>
              <a:gd name="T50" fmla="*/ 101 w 136"/>
              <a:gd name="T51" fmla="*/ 63 h 134"/>
              <a:gd name="T52" fmla="*/ 68 w 136"/>
              <a:gd name="T53" fmla="*/ 0 h 134"/>
              <a:gd name="T54" fmla="*/ 55 w 136"/>
              <a:gd name="T55" fmla="*/ 1 h 134"/>
              <a:gd name="T56" fmla="*/ 42 w 136"/>
              <a:gd name="T57" fmla="*/ 5 h 134"/>
              <a:gd name="T58" fmla="*/ 30 w 136"/>
              <a:gd name="T59" fmla="*/ 11 h 134"/>
              <a:gd name="T60" fmla="*/ 20 w 136"/>
              <a:gd name="T61" fmla="*/ 19 h 134"/>
              <a:gd name="T62" fmla="*/ 12 w 136"/>
              <a:gd name="T63" fmla="*/ 28 h 134"/>
              <a:gd name="T64" fmla="*/ 6 w 136"/>
              <a:gd name="T65" fmla="*/ 40 h 134"/>
              <a:gd name="T66" fmla="*/ 2 w 136"/>
              <a:gd name="T67" fmla="*/ 53 h 134"/>
              <a:gd name="T68" fmla="*/ 0 w 136"/>
              <a:gd name="T69" fmla="*/ 67 h 134"/>
              <a:gd name="T70" fmla="*/ 2 w 136"/>
              <a:gd name="T71" fmla="*/ 81 h 134"/>
              <a:gd name="T72" fmla="*/ 6 w 136"/>
              <a:gd name="T73" fmla="*/ 94 h 134"/>
              <a:gd name="T74" fmla="*/ 12 w 136"/>
              <a:gd name="T75" fmla="*/ 106 h 134"/>
              <a:gd name="T76" fmla="*/ 20 w 136"/>
              <a:gd name="T77" fmla="*/ 115 h 134"/>
              <a:gd name="T78" fmla="*/ 30 w 136"/>
              <a:gd name="T79" fmla="*/ 123 h 134"/>
              <a:gd name="T80" fmla="*/ 42 w 136"/>
              <a:gd name="T81" fmla="*/ 129 h 134"/>
              <a:gd name="T82" fmla="*/ 55 w 136"/>
              <a:gd name="T83" fmla="*/ 133 h 134"/>
              <a:gd name="T84" fmla="*/ 68 w 136"/>
              <a:gd name="T85" fmla="*/ 134 h 134"/>
              <a:gd name="T86" fmla="*/ 82 w 136"/>
              <a:gd name="T87" fmla="*/ 133 h 134"/>
              <a:gd name="T88" fmla="*/ 95 w 136"/>
              <a:gd name="T89" fmla="*/ 129 h 134"/>
              <a:gd name="T90" fmla="*/ 106 w 136"/>
              <a:gd name="T91" fmla="*/ 123 h 134"/>
              <a:gd name="T92" fmla="*/ 116 w 136"/>
              <a:gd name="T93" fmla="*/ 115 h 134"/>
              <a:gd name="T94" fmla="*/ 125 w 136"/>
              <a:gd name="T95" fmla="*/ 106 h 134"/>
              <a:gd name="T96" fmla="*/ 131 w 136"/>
              <a:gd name="T97" fmla="*/ 94 h 134"/>
              <a:gd name="T98" fmla="*/ 135 w 136"/>
              <a:gd name="T99" fmla="*/ 81 h 134"/>
              <a:gd name="T100" fmla="*/ 136 w 136"/>
              <a:gd name="T101" fmla="*/ 67 h 134"/>
              <a:gd name="T102" fmla="*/ 135 w 136"/>
              <a:gd name="T103" fmla="*/ 53 h 134"/>
              <a:gd name="T104" fmla="*/ 131 w 136"/>
              <a:gd name="T105" fmla="*/ 40 h 134"/>
              <a:gd name="T106" fmla="*/ 125 w 136"/>
              <a:gd name="T107" fmla="*/ 28 h 134"/>
              <a:gd name="T108" fmla="*/ 116 w 136"/>
              <a:gd name="T109" fmla="*/ 19 h 134"/>
              <a:gd name="T110" fmla="*/ 106 w 136"/>
              <a:gd name="T111" fmla="*/ 11 h 134"/>
              <a:gd name="T112" fmla="*/ 95 w 136"/>
              <a:gd name="T113" fmla="*/ 5 h 134"/>
              <a:gd name="T114" fmla="*/ 82 w 136"/>
              <a:gd name="T115" fmla="*/ 1 h 134"/>
              <a:gd name="T116" fmla="*/ 68 w 136"/>
              <a:gd name="T117" fmla="*/ 0 h 134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</a:gdLst>
            <a:ahLst/>
            <a:cxnLst>
              <a:cxn ang="T118">
                <a:pos x="T0" y="T1"/>
              </a:cxn>
              <a:cxn ang="T119">
                <a:pos x="T2" y="T3"/>
              </a:cxn>
              <a:cxn ang="T120">
                <a:pos x="T4" y="T5"/>
              </a:cxn>
              <a:cxn ang="T121">
                <a:pos x="T6" y="T7"/>
              </a:cxn>
              <a:cxn ang="T122">
                <a:pos x="T8" y="T9"/>
              </a:cxn>
              <a:cxn ang="T123">
                <a:pos x="T10" y="T11"/>
              </a:cxn>
              <a:cxn ang="T124">
                <a:pos x="T12" y="T13"/>
              </a:cxn>
              <a:cxn ang="T125">
                <a:pos x="T14" y="T15"/>
              </a:cxn>
              <a:cxn ang="T126">
                <a:pos x="T16" y="T17"/>
              </a:cxn>
              <a:cxn ang="T127">
                <a:pos x="T18" y="T19"/>
              </a:cxn>
              <a:cxn ang="T128">
                <a:pos x="T20" y="T21"/>
              </a:cxn>
              <a:cxn ang="T129">
                <a:pos x="T22" y="T23"/>
              </a:cxn>
              <a:cxn ang="T130">
                <a:pos x="T24" y="T25"/>
              </a:cxn>
              <a:cxn ang="T131">
                <a:pos x="T26" y="T27"/>
              </a:cxn>
              <a:cxn ang="T132">
                <a:pos x="T28" y="T29"/>
              </a:cxn>
              <a:cxn ang="T133">
                <a:pos x="T30" y="T31"/>
              </a:cxn>
              <a:cxn ang="T134">
                <a:pos x="T32" y="T33"/>
              </a:cxn>
              <a:cxn ang="T135">
                <a:pos x="T34" y="T35"/>
              </a:cxn>
              <a:cxn ang="T136">
                <a:pos x="T36" y="T37"/>
              </a:cxn>
              <a:cxn ang="T137">
                <a:pos x="T38" y="T39"/>
              </a:cxn>
              <a:cxn ang="T138">
                <a:pos x="T40" y="T41"/>
              </a:cxn>
              <a:cxn ang="T139">
                <a:pos x="T42" y="T43"/>
              </a:cxn>
              <a:cxn ang="T140">
                <a:pos x="T44" y="T45"/>
              </a:cxn>
              <a:cxn ang="T141">
                <a:pos x="T46" y="T47"/>
              </a:cxn>
              <a:cxn ang="T142">
                <a:pos x="T48" y="T49"/>
              </a:cxn>
              <a:cxn ang="T143">
                <a:pos x="T50" y="T51"/>
              </a:cxn>
              <a:cxn ang="T144">
                <a:pos x="T52" y="T53"/>
              </a:cxn>
              <a:cxn ang="T145">
                <a:pos x="T54" y="T55"/>
              </a:cxn>
              <a:cxn ang="T146">
                <a:pos x="T56" y="T57"/>
              </a:cxn>
              <a:cxn ang="T147">
                <a:pos x="T58" y="T59"/>
              </a:cxn>
              <a:cxn ang="T148">
                <a:pos x="T60" y="T61"/>
              </a:cxn>
              <a:cxn ang="T149">
                <a:pos x="T62" y="T63"/>
              </a:cxn>
              <a:cxn ang="T150">
                <a:pos x="T64" y="T65"/>
              </a:cxn>
              <a:cxn ang="T151">
                <a:pos x="T66" y="T67"/>
              </a:cxn>
              <a:cxn ang="T152">
                <a:pos x="T68" y="T69"/>
              </a:cxn>
              <a:cxn ang="T153">
                <a:pos x="T70" y="T71"/>
              </a:cxn>
              <a:cxn ang="T154">
                <a:pos x="T72" y="T73"/>
              </a:cxn>
              <a:cxn ang="T155">
                <a:pos x="T74" y="T75"/>
              </a:cxn>
              <a:cxn ang="T156">
                <a:pos x="T76" y="T77"/>
              </a:cxn>
              <a:cxn ang="T157">
                <a:pos x="T78" y="T79"/>
              </a:cxn>
              <a:cxn ang="T158">
                <a:pos x="T80" y="T81"/>
              </a:cxn>
              <a:cxn ang="T159">
                <a:pos x="T82" y="T83"/>
              </a:cxn>
              <a:cxn ang="T160">
                <a:pos x="T84" y="T85"/>
              </a:cxn>
              <a:cxn ang="T161">
                <a:pos x="T86" y="T87"/>
              </a:cxn>
              <a:cxn ang="T162">
                <a:pos x="T88" y="T89"/>
              </a:cxn>
              <a:cxn ang="T163">
                <a:pos x="T90" y="T91"/>
              </a:cxn>
              <a:cxn ang="T164">
                <a:pos x="T92" y="T93"/>
              </a:cxn>
              <a:cxn ang="T165">
                <a:pos x="T94" y="T95"/>
              </a:cxn>
              <a:cxn ang="T166">
                <a:pos x="T96" y="T97"/>
              </a:cxn>
              <a:cxn ang="T167">
                <a:pos x="T98" y="T99"/>
              </a:cxn>
              <a:cxn ang="T168">
                <a:pos x="T100" y="T101"/>
              </a:cxn>
              <a:cxn ang="T169">
                <a:pos x="T102" y="T103"/>
              </a:cxn>
              <a:cxn ang="T170">
                <a:pos x="T104" y="T105"/>
              </a:cxn>
              <a:cxn ang="T171">
                <a:pos x="T106" y="T107"/>
              </a:cxn>
              <a:cxn ang="T172">
                <a:pos x="T108" y="T109"/>
              </a:cxn>
              <a:cxn ang="T173">
                <a:pos x="T110" y="T111"/>
              </a:cxn>
              <a:cxn ang="T174">
                <a:pos x="T112" y="T113"/>
              </a:cxn>
              <a:cxn ang="T175">
                <a:pos x="T114" y="T115"/>
              </a:cxn>
              <a:cxn ang="T176">
                <a:pos x="T116" y="T117"/>
              </a:cxn>
            </a:cxnLst>
            <a:rect l="0" t="0" r="r" b="b"/>
            <a:pathLst>
              <a:path w="136" h="134">
                <a:moveTo>
                  <a:pt x="101" y="67"/>
                </a:moveTo>
                <a:lnTo>
                  <a:pt x="101" y="71"/>
                </a:lnTo>
                <a:lnTo>
                  <a:pt x="101" y="75"/>
                </a:lnTo>
                <a:lnTo>
                  <a:pt x="100" y="78"/>
                </a:lnTo>
                <a:lnTo>
                  <a:pt x="99" y="82"/>
                </a:lnTo>
                <a:lnTo>
                  <a:pt x="97" y="85"/>
                </a:lnTo>
                <a:lnTo>
                  <a:pt x="96" y="88"/>
                </a:lnTo>
                <a:lnTo>
                  <a:pt x="94" y="91"/>
                </a:lnTo>
                <a:lnTo>
                  <a:pt x="92" y="94"/>
                </a:lnTo>
                <a:lnTo>
                  <a:pt x="87" y="98"/>
                </a:lnTo>
                <a:lnTo>
                  <a:pt x="81" y="101"/>
                </a:lnTo>
                <a:lnTo>
                  <a:pt x="75" y="103"/>
                </a:lnTo>
                <a:lnTo>
                  <a:pt x="68" y="104"/>
                </a:lnTo>
                <a:lnTo>
                  <a:pt x="62" y="103"/>
                </a:lnTo>
                <a:lnTo>
                  <a:pt x="58" y="102"/>
                </a:lnTo>
                <a:lnTo>
                  <a:pt x="55" y="101"/>
                </a:lnTo>
                <a:lnTo>
                  <a:pt x="52" y="100"/>
                </a:lnTo>
                <a:lnTo>
                  <a:pt x="50" y="98"/>
                </a:lnTo>
                <a:lnTo>
                  <a:pt x="47" y="96"/>
                </a:lnTo>
                <a:lnTo>
                  <a:pt x="45" y="94"/>
                </a:lnTo>
                <a:lnTo>
                  <a:pt x="43" y="91"/>
                </a:lnTo>
                <a:lnTo>
                  <a:pt x="41" y="88"/>
                </a:lnTo>
                <a:lnTo>
                  <a:pt x="39" y="85"/>
                </a:lnTo>
                <a:lnTo>
                  <a:pt x="38" y="82"/>
                </a:lnTo>
                <a:lnTo>
                  <a:pt x="36" y="75"/>
                </a:lnTo>
                <a:lnTo>
                  <a:pt x="35" y="71"/>
                </a:lnTo>
                <a:lnTo>
                  <a:pt x="35" y="67"/>
                </a:lnTo>
                <a:lnTo>
                  <a:pt x="35" y="63"/>
                </a:lnTo>
                <a:lnTo>
                  <a:pt x="36" y="59"/>
                </a:lnTo>
                <a:lnTo>
                  <a:pt x="37" y="56"/>
                </a:lnTo>
                <a:lnTo>
                  <a:pt x="38" y="52"/>
                </a:lnTo>
                <a:lnTo>
                  <a:pt x="39" y="49"/>
                </a:lnTo>
                <a:lnTo>
                  <a:pt x="41" y="46"/>
                </a:lnTo>
                <a:lnTo>
                  <a:pt x="43" y="43"/>
                </a:lnTo>
                <a:lnTo>
                  <a:pt x="45" y="40"/>
                </a:lnTo>
                <a:lnTo>
                  <a:pt x="50" y="36"/>
                </a:lnTo>
                <a:lnTo>
                  <a:pt x="55" y="33"/>
                </a:lnTo>
                <a:lnTo>
                  <a:pt x="62" y="31"/>
                </a:lnTo>
                <a:lnTo>
                  <a:pt x="68" y="30"/>
                </a:lnTo>
                <a:lnTo>
                  <a:pt x="75" y="31"/>
                </a:lnTo>
                <a:lnTo>
                  <a:pt x="78" y="32"/>
                </a:lnTo>
                <a:lnTo>
                  <a:pt x="81" y="33"/>
                </a:lnTo>
                <a:lnTo>
                  <a:pt x="84" y="34"/>
                </a:lnTo>
                <a:lnTo>
                  <a:pt x="87" y="36"/>
                </a:lnTo>
                <a:lnTo>
                  <a:pt x="89" y="38"/>
                </a:lnTo>
                <a:lnTo>
                  <a:pt x="92" y="40"/>
                </a:lnTo>
                <a:lnTo>
                  <a:pt x="94" y="43"/>
                </a:lnTo>
                <a:lnTo>
                  <a:pt x="96" y="46"/>
                </a:lnTo>
                <a:lnTo>
                  <a:pt x="97" y="49"/>
                </a:lnTo>
                <a:lnTo>
                  <a:pt x="99" y="52"/>
                </a:lnTo>
                <a:lnTo>
                  <a:pt x="101" y="59"/>
                </a:lnTo>
                <a:lnTo>
                  <a:pt x="101" y="63"/>
                </a:lnTo>
                <a:lnTo>
                  <a:pt x="101" y="67"/>
                </a:lnTo>
                <a:close/>
                <a:moveTo>
                  <a:pt x="68" y="0"/>
                </a:moveTo>
                <a:lnTo>
                  <a:pt x="61" y="0"/>
                </a:lnTo>
                <a:lnTo>
                  <a:pt x="55" y="1"/>
                </a:lnTo>
                <a:lnTo>
                  <a:pt x="48" y="3"/>
                </a:lnTo>
                <a:lnTo>
                  <a:pt x="42" y="5"/>
                </a:lnTo>
                <a:lnTo>
                  <a:pt x="36" y="7"/>
                </a:lnTo>
                <a:lnTo>
                  <a:pt x="30" y="11"/>
                </a:lnTo>
                <a:lnTo>
                  <a:pt x="25" y="14"/>
                </a:lnTo>
                <a:lnTo>
                  <a:pt x="20" y="19"/>
                </a:lnTo>
                <a:lnTo>
                  <a:pt x="16" y="23"/>
                </a:lnTo>
                <a:lnTo>
                  <a:pt x="12" y="28"/>
                </a:lnTo>
                <a:lnTo>
                  <a:pt x="9" y="34"/>
                </a:lnTo>
                <a:lnTo>
                  <a:pt x="6" y="40"/>
                </a:lnTo>
                <a:lnTo>
                  <a:pt x="3" y="46"/>
                </a:lnTo>
                <a:lnTo>
                  <a:pt x="2" y="53"/>
                </a:lnTo>
                <a:lnTo>
                  <a:pt x="1" y="60"/>
                </a:lnTo>
                <a:lnTo>
                  <a:pt x="0" y="67"/>
                </a:lnTo>
                <a:lnTo>
                  <a:pt x="1" y="74"/>
                </a:lnTo>
                <a:lnTo>
                  <a:pt x="2" y="81"/>
                </a:lnTo>
                <a:lnTo>
                  <a:pt x="3" y="88"/>
                </a:lnTo>
                <a:lnTo>
                  <a:pt x="6" y="94"/>
                </a:lnTo>
                <a:lnTo>
                  <a:pt x="9" y="100"/>
                </a:lnTo>
                <a:lnTo>
                  <a:pt x="12" y="106"/>
                </a:lnTo>
                <a:lnTo>
                  <a:pt x="16" y="111"/>
                </a:lnTo>
                <a:lnTo>
                  <a:pt x="20" y="115"/>
                </a:lnTo>
                <a:lnTo>
                  <a:pt x="25" y="120"/>
                </a:lnTo>
                <a:lnTo>
                  <a:pt x="30" y="123"/>
                </a:lnTo>
                <a:lnTo>
                  <a:pt x="36" y="127"/>
                </a:lnTo>
                <a:lnTo>
                  <a:pt x="42" y="129"/>
                </a:lnTo>
                <a:lnTo>
                  <a:pt x="48" y="131"/>
                </a:lnTo>
                <a:lnTo>
                  <a:pt x="55" y="133"/>
                </a:lnTo>
                <a:lnTo>
                  <a:pt x="61" y="134"/>
                </a:lnTo>
                <a:lnTo>
                  <a:pt x="68" y="134"/>
                </a:lnTo>
                <a:lnTo>
                  <a:pt x="75" y="134"/>
                </a:lnTo>
                <a:lnTo>
                  <a:pt x="82" y="133"/>
                </a:lnTo>
                <a:lnTo>
                  <a:pt x="89" y="131"/>
                </a:lnTo>
                <a:lnTo>
                  <a:pt x="95" y="129"/>
                </a:lnTo>
                <a:lnTo>
                  <a:pt x="101" y="127"/>
                </a:lnTo>
                <a:lnTo>
                  <a:pt x="106" y="123"/>
                </a:lnTo>
                <a:lnTo>
                  <a:pt x="112" y="120"/>
                </a:lnTo>
                <a:lnTo>
                  <a:pt x="116" y="115"/>
                </a:lnTo>
                <a:lnTo>
                  <a:pt x="121" y="111"/>
                </a:lnTo>
                <a:lnTo>
                  <a:pt x="125" y="106"/>
                </a:lnTo>
                <a:lnTo>
                  <a:pt x="128" y="100"/>
                </a:lnTo>
                <a:lnTo>
                  <a:pt x="131" y="94"/>
                </a:lnTo>
                <a:lnTo>
                  <a:pt x="133" y="88"/>
                </a:lnTo>
                <a:lnTo>
                  <a:pt x="135" y="81"/>
                </a:lnTo>
                <a:lnTo>
                  <a:pt x="136" y="74"/>
                </a:lnTo>
                <a:lnTo>
                  <a:pt x="136" y="67"/>
                </a:lnTo>
                <a:lnTo>
                  <a:pt x="136" y="60"/>
                </a:lnTo>
                <a:lnTo>
                  <a:pt x="135" y="53"/>
                </a:lnTo>
                <a:lnTo>
                  <a:pt x="133" y="46"/>
                </a:lnTo>
                <a:lnTo>
                  <a:pt x="131" y="40"/>
                </a:lnTo>
                <a:lnTo>
                  <a:pt x="128" y="34"/>
                </a:lnTo>
                <a:lnTo>
                  <a:pt x="125" y="28"/>
                </a:lnTo>
                <a:lnTo>
                  <a:pt x="121" y="23"/>
                </a:lnTo>
                <a:lnTo>
                  <a:pt x="116" y="19"/>
                </a:lnTo>
                <a:lnTo>
                  <a:pt x="112" y="14"/>
                </a:lnTo>
                <a:lnTo>
                  <a:pt x="106" y="11"/>
                </a:lnTo>
                <a:lnTo>
                  <a:pt x="101" y="7"/>
                </a:lnTo>
                <a:lnTo>
                  <a:pt x="95" y="5"/>
                </a:lnTo>
                <a:lnTo>
                  <a:pt x="89" y="3"/>
                </a:lnTo>
                <a:lnTo>
                  <a:pt x="82" y="1"/>
                </a:lnTo>
                <a:lnTo>
                  <a:pt x="75" y="0"/>
                </a:lnTo>
                <a:lnTo>
                  <a:pt x="68" y="0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4551" name="Rectangle 8">
            <a:extLst>
              <a:ext uri="{FF2B5EF4-FFF2-40B4-BE49-F238E27FC236}">
                <a16:creationId xmlns:a16="http://schemas.microsoft.com/office/drawing/2014/main" id="{112A512C-5BC9-6181-1909-91FCA2289F53}"/>
              </a:ext>
            </a:extLst>
          </xdr:cNvPr>
          <xdr:cNvSpPr>
            <a:spLocks noChangeArrowheads="1"/>
          </xdr:cNvSpPr>
        </xdr:nvSpPr>
        <xdr:spPr bwMode="auto">
          <a:xfrm>
            <a:off x="3062" y="1988"/>
            <a:ext cx="159" cy="345"/>
          </a:xfrm>
          <a:prstGeom prst="rect">
            <a:avLst/>
          </a:prstGeom>
          <a:solidFill>
            <a:srgbClr val="0071B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52" name="Freeform 9">
            <a:extLst>
              <a:ext uri="{FF2B5EF4-FFF2-40B4-BE49-F238E27FC236}">
                <a16:creationId xmlns:a16="http://schemas.microsoft.com/office/drawing/2014/main" id="{CB902E8D-4778-3DF5-512F-B14D3AB2EF22}"/>
              </a:ext>
            </a:extLst>
          </xdr:cNvPr>
          <xdr:cNvSpPr>
            <a:spLocks/>
          </xdr:cNvSpPr>
        </xdr:nvSpPr>
        <xdr:spPr bwMode="auto">
          <a:xfrm>
            <a:off x="3092" y="2097"/>
            <a:ext cx="99" cy="128"/>
          </a:xfrm>
          <a:custGeom>
            <a:avLst/>
            <a:gdLst>
              <a:gd name="T0" fmla="*/ 35 w 99"/>
              <a:gd name="T1" fmla="*/ 99 h 128"/>
              <a:gd name="T2" fmla="*/ 35 w 99"/>
              <a:gd name="T3" fmla="*/ 77 h 128"/>
              <a:gd name="T4" fmla="*/ 91 w 99"/>
              <a:gd name="T5" fmla="*/ 77 h 128"/>
              <a:gd name="T6" fmla="*/ 91 w 99"/>
              <a:gd name="T7" fmla="*/ 50 h 128"/>
              <a:gd name="T8" fmla="*/ 35 w 99"/>
              <a:gd name="T9" fmla="*/ 50 h 128"/>
              <a:gd name="T10" fmla="*/ 35 w 99"/>
              <a:gd name="T11" fmla="*/ 28 h 128"/>
              <a:gd name="T12" fmla="*/ 99 w 99"/>
              <a:gd name="T13" fmla="*/ 28 h 128"/>
              <a:gd name="T14" fmla="*/ 99 w 99"/>
              <a:gd name="T15" fmla="*/ 0 h 128"/>
              <a:gd name="T16" fmla="*/ 0 w 99"/>
              <a:gd name="T17" fmla="*/ 0 h 128"/>
              <a:gd name="T18" fmla="*/ 0 w 99"/>
              <a:gd name="T19" fmla="*/ 128 h 128"/>
              <a:gd name="T20" fmla="*/ 99 w 99"/>
              <a:gd name="T21" fmla="*/ 128 h 128"/>
              <a:gd name="T22" fmla="*/ 99 w 99"/>
              <a:gd name="T23" fmla="*/ 99 h 128"/>
              <a:gd name="T24" fmla="*/ 35 w 99"/>
              <a:gd name="T25" fmla="*/ 99 h 128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99" h="128">
                <a:moveTo>
                  <a:pt x="35" y="99"/>
                </a:moveTo>
                <a:lnTo>
                  <a:pt x="35" y="77"/>
                </a:lnTo>
                <a:lnTo>
                  <a:pt x="91" y="77"/>
                </a:lnTo>
                <a:lnTo>
                  <a:pt x="91" y="50"/>
                </a:lnTo>
                <a:lnTo>
                  <a:pt x="35" y="50"/>
                </a:lnTo>
                <a:lnTo>
                  <a:pt x="35" y="28"/>
                </a:lnTo>
                <a:lnTo>
                  <a:pt x="99" y="28"/>
                </a:lnTo>
                <a:lnTo>
                  <a:pt x="99" y="0"/>
                </a:lnTo>
                <a:lnTo>
                  <a:pt x="0" y="0"/>
                </a:lnTo>
                <a:lnTo>
                  <a:pt x="0" y="128"/>
                </a:lnTo>
                <a:lnTo>
                  <a:pt x="99" y="128"/>
                </a:lnTo>
                <a:lnTo>
                  <a:pt x="99" y="99"/>
                </a:lnTo>
                <a:lnTo>
                  <a:pt x="35" y="99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3232-6475-4488-BF9E-A8ECDE34F20F}">
  <sheetPr>
    <pageSetUpPr fitToPage="1"/>
  </sheetPr>
  <dimension ref="A1:R65"/>
  <sheetViews>
    <sheetView showGridLines="0" tabSelected="1" zoomScale="55" zoomScaleNormal="55" zoomScaleSheetLayoutView="100" workbookViewId="0">
      <selection activeCell="W12" sqref="W12"/>
    </sheetView>
  </sheetViews>
  <sheetFormatPr defaultColWidth="9.33203125" defaultRowHeight="13.2" x14ac:dyDescent="0.25"/>
  <cols>
    <col min="1" max="2" width="11.109375" style="7" customWidth="1"/>
    <col min="3" max="3" width="30.77734375" style="7" customWidth="1"/>
    <col min="4" max="4" width="10.77734375" style="7" customWidth="1"/>
    <col min="5" max="5" width="18" style="7" customWidth="1"/>
    <col min="6" max="6" width="13.44140625" style="7" customWidth="1"/>
    <col min="7" max="7" width="17.44140625" style="7" customWidth="1"/>
    <col min="8" max="8" width="1.6640625" style="7" customWidth="1"/>
    <col min="9" max="9" width="10.109375" style="7" customWidth="1"/>
    <col min="10" max="10" width="11.44140625" style="7" customWidth="1"/>
    <col min="11" max="11" width="11.109375" style="7" customWidth="1"/>
    <col min="12" max="12" width="10.109375" style="7" customWidth="1"/>
    <col min="13" max="13" width="11.44140625" style="7" customWidth="1"/>
    <col min="14" max="18" width="10.109375" style="7" customWidth="1"/>
    <col min="19" max="19" width="1.109375" style="7" customWidth="1"/>
    <col min="20" max="16384" width="9.33203125" style="7"/>
  </cols>
  <sheetData>
    <row r="1" spans="1:18" ht="27.75" customHeight="1" x14ac:dyDescent="0.4">
      <c r="A1" s="168" t="s">
        <v>5</v>
      </c>
      <c r="B1" s="168"/>
      <c r="C1" s="168"/>
      <c r="D1" s="5"/>
      <c r="E1" s="23"/>
      <c r="F1" s="23"/>
      <c r="G1" s="23"/>
      <c r="H1" s="23"/>
      <c r="I1" s="23"/>
      <c r="J1" s="23"/>
      <c r="K1" s="23"/>
      <c r="L1" s="5"/>
      <c r="M1" s="5"/>
      <c r="N1" s="29" t="s">
        <v>21</v>
      </c>
      <c r="O1" s="29" t="s">
        <v>18</v>
      </c>
      <c r="P1" s="5"/>
      <c r="Q1" s="5"/>
      <c r="R1" s="5"/>
    </row>
    <row r="2" spans="1:18" ht="21.75" customHeight="1" x14ac:dyDescent="0.4">
      <c r="A2" s="168"/>
      <c r="B2" s="168"/>
      <c r="C2" s="168"/>
      <c r="D2" s="5"/>
      <c r="E2" s="23"/>
      <c r="F2" s="23" t="s">
        <v>0</v>
      </c>
      <c r="H2" s="23"/>
      <c r="I2" s="23"/>
      <c r="J2" s="23"/>
      <c r="K2" s="23"/>
      <c r="L2" s="5"/>
      <c r="M2" s="5"/>
      <c r="N2" s="30" t="s">
        <v>22</v>
      </c>
      <c r="O2" s="29" t="s">
        <v>16</v>
      </c>
      <c r="P2" s="5"/>
      <c r="Q2" s="5"/>
      <c r="R2" s="5"/>
    </row>
    <row r="3" spans="1:18" ht="20.25" customHeight="1" x14ac:dyDescent="0.4">
      <c r="A3" s="168"/>
      <c r="B3" s="168"/>
      <c r="C3" s="168"/>
      <c r="D3" s="5"/>
      <c r="E3" s="23"/>
      <c r="F3" s="23"/>
      <c r="G3" s="31" t="s">
        <v>15</v>
      </c>
      <c r="I3" s="24"/>
      <c r="J3" s="23"/>
      <c r="K3" s="23"/>
      <c r="L3" s="5"/>
      <c r="M3" s="5"/>
      <c r="N3" s="5"/>
      <c r="O3" s="29" t="s">
        <v>17</v>
      </c>
      <c r="P3" s="5"/>
      <c r="Q3" s="5"/>
      <c r="R3" s="5"/>
    </row>
    <row r="4" spans="1:18" ht="21.75" customHeight="1" x14ac:dyDescent="0.4">
      <c r="A4" s="181"/>
      <c r="B4" s="181"/>
      <c r="C4" s="181"/>
      <c r="D4" s="5"/>
      <c r="E4" s="23"/>
      <c r="F4" s="23"/>
      <c r="G4" s="31" t="str">
        <f>D7</f>
        <v>二线员工 Staff</v>
      </c>
      <c r="H4" s="23"/>
      <c r="I4" s="23"/>
      <c r="J4" s="23"/>
      <c r="K4" s="23"/>
      <c r="L4" s="5"/>
      <c r="M4" s="5"/>
      <c r="N4" s="5"/>
      <c r="O4" s="5"/>
      <c r="P4" s="5"/>
      <c r="Q4" s="5"/>
      <c r="R4" s="5"/>
    </row>
    <row r="5" spans="1:18" ht="12.75" customHeight="1" thickBot="1" x14ac:dyDescent="0.35">
      <c r="A5" s="5"/>
      <c r="B5" s="5"/>
      <c r="C5" s="5"/>
      <c r="D5" s="5"/>
      <c r="E5" s="5"/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ht="30" customHeight="1" thickBot="1" x14ac:dyDescent="0.3">
      <c r="A6" s="169" t="s">
        <v>32</v>
      </c>
      <c r="B6" s="170"/>
      <c r="C6" s="38" t="s">
        <v>33</v>
      </c>
      <c r="D6" s="169" t="s">
        <v>44</v>
      </c>
      <c r="E6" s="170"/>
      <c r="F6" s="39" t="s">
        <v>45</v>
      </c>
      <c r="G6" s="174" t="s">
        <v>67</v>
      </c>
      <c r="H6" s="162"/>
      <c r="I6" s="175" t="s">
        <v>47</v>
      </c>
      <c r="J6" s="176"/>
      <c r="K6" s="176"/>
      <c r="L6" s="177"/>
      <c r="M6" s="153" t="s">
        <v>66</v>
      </c>
      <c r="N6" s="154"/>
      <c r="O6" s="154"/>
      <c r="P6" s="154"/>
      <c r="Q6" s="154"/>
      <c r="R6" s="155"/>
    </row>
    <row r="7" spans="1:18" ht="30" customHeight="1" thickBot="1" x14ac:dyDescent="0.3">
      <c r="A7" s="161">
        <v>64169108</v>
      </c>
      <c r="B7" s="162"/>
      <c r="C7" s="150" t="s">
        <v>69</v>
      </c>
      <c r="D7" s="159" t="s">
        <v>65</v>
      </c>
      <c r="E7" s="160"/>
      <c r="F7" s="39" t="s">
        <v>46</v>
      </c>
      <c r="G7" s="173" t="s">
        <v>70</v>
      </c>
      <c r="H7" s="162"/>
      <c r="I7" s="175" t="s">
        <v>48</v>
      </c>
      <c r="J7" s="176"/>
      <c r="K7" s="176"/>
      <c r="L7" s="177"/>
      <c r="M7" s="153"/>
      <c r="N7" s="154"/>
      <c r="O7" s="154"/>
      <c r="P7" s="154"/>
      <c r="Q7" s="154"/>
      <c r="R7" s="155"/>
    </row>
    <row r="8" spans="1:18" ht="10.199999999999999" customHeight="1" thickBo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ht="14.4" thickBot="1" x14ac:dyDescent="0.3">
      <c r="A9" s="8"/>
      <c r="B9" s="8"/>
      <c r="C9" s="8"/>
      <c r="D9" s="8"/>
      <c r="E9" s="110"/>
      <c r="F9" s="126"/>
      <c r="G9" s="118"/>
      <c r="H9" s="5"/>
      <c r="I9" s="178" t="s">
        <v>49</v>
      </c>
      <c r="J9" s="179"/>
      <c r="K9" s="179"/>
      <c r="L9" s="179"/>
      <c r="M9" s="179"/>
      <c r="N9" s="179"/>
      <c r="O9" s="179"/>
      <c r="P9" s="179"/>
      <c r="Q9" s="179"/>
      <c r="R9" s="180"/>
    </row>
    <row r="10" spans="1:18" ht="42" customHeight="1" thickBot="1" x14ac:dyDescent="0.3">
      <c r="A10" s="37" t="s">
        <v>14</v>
      </c>
      <c r="B10" s="37" t="s">
        <v>19</v>
      </c>
      <c r="C10" s="37" t="s">
        <v>20</v>
      </c>
      <c r="D10" s="37" t="s">
        <v>11</v>
      </c>
      <c r="E10" s="92" t="s">
        <v>24</v>
      </c>
      <c r="F10" s="127" t="s">
        <v>36</v>
      </c>
      <c r="G10" s="119" t="s">
        <v>1</v>
      </c>
      <c r="H10" s="3"/>
      <c r="I10" s="171" t="s">
        <v>50</v>
      </c>
      <c r="J10" s="172"/>
      <c r="K10" s="172"/>
      <c r="L10" s="91" t="s">
        <v>4</v>
      </c>
      <c r="M10" s="46" t="s">
        <v>10</v>
      </c>
      <c r="N10" s="41" t="s">
        <v>3</v>
      </c>
      <c r="O10" s="40" t="s">
        <v>12</v>
      </c>
      <c r="P10" s="41" t="s">
        <v>13</v>
      </c>
      <c r="Q10" s="81" t="s">
        <v>61</v>
      </c>
      <c r="R10" s="45" t="s">
        <v>23</v>
      </c>
    </row>
    <row r="11" spans="1:18" ht="25.95" customHeight="1" x14ac:dyDescent="0.25">
      <c r="A11" s="1"/>
      <c r="B11" s="1"/>
      <c r="C11" s="1"/>
      <c r="D11" s="1"/>
      <c r="E11" s="111"/>
      <c r="F11" s="128"/>
      <c r="G11" s="120"/>
      <c r="H11" s="3"/>
      <c r="I11" s="100" t="s">
        <v>7</v>
      </c>
      <c r="J11" s="106" t="s">
        <v>2</v>
      </c>
      <c r="K11" s="101" t="s">
        <v>9</v>
      </c>
      <c r="L11" s="92"/>
      <c r="M11" s="42"/>
      <c r="N11" s="36"/>
      <c r="O11" s="36"/>
      <c r="P11" s="36"/>
      <c r="Q11" s="82"/>
      <c r="R11" s="136"/>
    </row>
    <row r="12" spans="1:18" ht="28.2" customHeight="1" x14ac:dyDescent="0.25">
      <c r="A12" s="59"/>
      <c r="B12" s="59"/>
      <c r="C12" s="59"/>
      <c r="D12" s="59"/>
      <c r="E12" s="112"/>
      <c r="F12" s="129"/>
      <c r="G12" s="121"/>
      <c r="H12" s="4"/>
      <c r="I12" s="63" t="s">
        <v>8</v>
      </c>
      <c r="J12" s="107" t="s">
        <v>51</v>
      </c>
      <c r="K12" s="102" t="s">
        <v>52</v>
      </c>
      <c r="L12" s="63" t="s">
        <v>53</v>
      </c>
      <c r="M12" s="62" t="s">
        <v>34</v>
      </c>
      <c r="N12" s="61" t="s">
        <v>54</v>
      </c>
      <c r="O12" s="61" t="s">
        <v>55</v>
      </c>
      <c r="P12" s="61" t="s">
        <v>41</v>
      </c>
      <c r="Q12" s="83" t="s">
        <v>56</v>
      </c>
      <c r="R12" s="64" t="s">
        <v>35</v>
      </c>
    </row>
    <row r="13" spans="1:18" ht="16.95" customHeight="1" thickBot="1" x14ac:dyDescent="0.3">
      <c r="A13" s="60" t="s">
        <v>27</v>
      </c>
      <c r="B13" s="60" t="s">
        <v>28</v>
      </c>
      <c r="C13" s="60" t="s">
        <v>25</v>
      </c>
      <c r="D13" s="60" t="s">
        <v>26</v>
      </c>
      <c r="E13" s="113" t="s">
        <v>29</v>
      </c>
      <c r="F13" s="130" t="s">
        <v>30</v>
      </c>
      <c r="G13" s="122" t="s">
        <v>31</v>
      </c>
      <c r="H13" s="4"/>
      <c r="I13" s="44">
        <f>IF(G4="一线员工 Operative",436994,436995)</f>
        <v>436995</v>
      </c>
      <c r="J13" s="108">
        <f>IF(G4="一线员工 Operative",436994,436995)</f>
        <v>436995</v>
      </c>
      <c r="K13" s="84">
        <f>IF(G4="一线员工 Operative",436994,436995)</f>
        <v>436995</v>
      </c>
      <c r="L13" s="44">
        <f>IF(G4="一线员工 Operative",436244,444400)</f>
        <v>444400</v>
      </c>
      <c r="M13" s="35">
        <f>IF(G4="一线员工 Operative",436241,436216)</f>
        <v>436216</v>
      </c>
      <c r="N13" s="35">
        <f>IF(G4="一线员工 Operative",436241,436225)</f>
        <v>436225</v>
      </c>
      <c r="O13" s="35">
        <f>IF(G4="一线员工 Operative",436451,436450)</f>
        <v>436450</v>
      </c>
      <c r="P13" s="43"/>
      <c r="Q13" s="84">
        <v>132900</v>
      </c>
      <c r="R13" s="35"/>
    </row>
    <row r="14" spans="1:18" ht="18.75" customHeight="1" x14ac:dyDescent="0.25">
      <c r="A14" s="147">
        <v>45975</v>
      </c>
      <c r="B14" s="151" t="s">
        <v>71</v>
      </c>
      <c r="C14" s="152" t="s">
        <v>72</v>
      </c>
      <c r="D14" s="9" t="s">
        <v>68</v>
      </c>
      <c r="E14" s="114">
        <f>SUM(I14:Q14)</f>
        <v>98.4</v>
      </c>
      <c r="F14" s="131">
        <v>1</v>
      </c>
      <c r="G14" s="138">
        <f t="shared" ref="G14:G21" si="0">E14*F14</f>
        <v>98.4</v>
      </c>
      <c r="H14" s="10"/>
      <c r="I14" s="93"/>
      <c r="J14" s="13">
        <v>98.4</v>
      </c>
      <c r="K14" s="103"/>
      <c r="L14" s="93"/>
      <c r="M14" s="88"/>
      <c r="N14" s="88"/>
      <c r="O14" s="88"/>
      <c r="P14" s="88"/>
      <c r="Q14" s="96"/>
      <c r="R14" s="97"/>
    </row>
    <row r="15" spans="1:18" ht="18.75" customHeight="1" x14ac:dyDescent="0.25">
      <c r="A15" s="147">
        <v>45975</v>
      </c>
      <c r="B15" s="151" t="s">
        <v>71</v>
      </c>
      <c r="C15" s="152" t="s">
        <v>73</v>
      </c>
      <c r="D15" s="32" t="s">
        <v>68</v>
      </c>
      <c r="E15" s="115">
        <f t="shared" ref="E15:E28" si="1">SUM(I15:Q15)</f>
        <v>48</v>
      </c>
      <c r="F15" s="132">
        <v>1</v>
      </c>
      <c r="G15" s="139">
        <f t="shared" si="0"/>
        <v>48</v>
      </c>
      <c r="H15" s="10"/>
      <c r="I15" s="94"/>
      <c r="J15" s="13">
        <v>48</v>
      </c>
      <c r="K15" s="104"/>
      <c r="L15" s="94"/>
      <c r="M15" s="89"/>
      <c r="N15" s="89"/>
      <c r="O15" s="89"/>
      <c r="P15" s="89"/>
      <c r="Q15" s="85"/>
      <c r="R15" s="98"/>
    </row>
    <row r="16" spans="1:18" ht="18.75" customHeight="1" x14ac:dyDescent="0.25">
      <c r="A16" s="147">
        <v>45975</v>
      </c>
      <c r="B16" s="151" t="s">
        <v>74</v>
      </c>
      <c r="C16" s="152" t="s">
        <v>75</v>
      </c>
      <c r="D16" s="32" t="s">
        <v>68</v>
      </c>
      <c r="E16" s="115">
        <f t="shared" si="1"/>
        <v>100</v>
      </c>
      <c r="F16" s="132">
        <v>1</v>
      </c>
      <c r="G16" s="139">
        <f t="shared" si="0"/>
        <v>100</v>
      </c>
      <c r="H16" s="10"/>
      <c r="I16" s="94"/>
      <c r="J16" s="13"/>
      <c r="K16" s="104"/>
      <c r="L16" s="94"/>
      <c r="M16" s="89"/>
      <c r="N16" s="89"/>
      <c r="O16" s="89"/>
      <c r="P16" s="89">
        <v>100</v>
      </c>
      <c r="Q16" s="85"/>
      <c r="R16" s="98"/>
    </row>
    <row r="17" spans="1:18" ht="18.75" customHeight="1" x14ac:dyDescent="0.25">
      <c r="A17" s="147">
        <v>45975</v>
      </c>
      <c r="B17" s="151" t="s">
        <v>74</v>
      </c>
      <c r="C17" s="152" t="s">
        <v>76</v>
      </c>
      <c r="D17" s="32" t="s">
        <v>68</v>
      </c>
      <c r="E17" s="115">
        <f>SUM(I17:Q17)</f>
        <v>50.7</v>
      </c>
      <c r="F17" s="132">
        <v>1</v>
      </c>
      <c r="G17" s="139">
        <f t="shared" si="0"/>
        <v>50.7</v>
      </c>
      <c r="H17" s="10"/>
      <c r="I17" s="94"/>
      <c r="J17" s="13">
        <v>50.7</v>
      </c>
      <c r="K17" s="104"/>
      <c r="L17" s="94"/>
      <c r="M17" s="89"/>
      <c r="N17" s="89"/>
      <c r="O17" s="89"/>
      <c r="P17" s="89"/>
      <c r="Q17" s="85"/>
      <c r="R17" s="98"/>
    </row>
    <row r="18" spans="1:18" ht="18.75" customHeight="1" x14ac:dyDescent="0.25">
      <c r="A18" s="147">
        <v>45975</v>
      </c>
      <c r="B18" s="151" t="s">
        <v>74</v>
      </c>
      <c r="C18" s="152" t="s">
        <v>77</v>
      </c>
      <c r="D18" s="32" t="s">
        <v>68</v>
      </c>
      <c r="E18" s="115">
        <f>SUM(I18:Q18)</f>
        <v>48</v>
      </c>
      <c r="F18" s="132">
        <v>1</v>
      </c>
      <c r="G18" s="140">
        <f t="shared" si="0"/>
        <v>48</v>
      </c>
      <c r="H18" s="10"/>
      <c r="I18" s="94"/>
      <c r="J18" s="13">
        <v>48</v>
      </c>
      <c r="K18" s="104"/>
      <c r="L18" s="94"/>
      <c r="M18" s="89"/>
      <c r="N18" s="89"/>
      <c r="O18" s="89"/>
      <c r="P18" s="89"/>
      <c r="Q18" s="85"/>
      <c r="R18" s="98"/>
    </row>
    <row r="19" spans="1:18" ht="18.75" customHeight="1" x14ac:dyDescent="0.25">
      <c r="A19" s="147">
        <v>45975</v>
      </c>
      <c r="B19" s="151" t="s">
        <v>74</v>
      </c>
      <c r="C19" s="152" t="s">
        <v>78</v>
      </c>
      <c r="D19" s="32" t="s">
        <v>68</v>
      </c>
      <c r="E19" s="115">
        <f>SUM(I19:Q19)</f>
        <v>2</v>
      </c>
      <c r="F19" s="132">
        <v>1</v>
      </c>
      <c r="G19" s="140">
        <f t="shared" si="0"/>
        <v>2</v>
      </c>
      <c r="H19" s="10"/>
      <c r="I19" s="94"/>
      <c r="J19" s="13">
        <v>2</v>
      </c>
      <c r="K19" s="104"/>
      <c r="L19" s="94"/>
      <c r="M19" s="89"/>
      <c r="N19" s="89"/>
      <c r="O19" s="89"/>
      <c r="P19" s="89"/>
      <c r="Q19" s="85"/>
      <c r="R19" s="98"/>
    </row>
    <row r="20" spans="1:18" ht="18.75" customHeight="1" x14ac:dyDescent="0.25">
      <c r="A20" s="147"/>
      <c r="B20" s="11"/>
      <c r="C20" s="141" t="s">
        <v>79</v>
      </c>
      <c r="D20" s="32"/>
      <c r="E20" s="146">
        <f>SUM(I20:Q20)</f>
        <v>0</v>
      </c>
      <c r="F20" s="132">
        <v>1</v>
      </c>
      <c r="G20" s="140">
        <f t="shared" si="0"/>
        <v>0</v>
      </c>
      <c r="H20" s="10"/>
      <c r="I20" s="94"/>
      <c r="J20" s="13"/>
      <c r="K20" s="104"/>
      <c r="L20" s="94"/>
      <c r="M20" s="89"/>
      <c r="N20" s="89"/>
      <c r="O20" s="89"/>
      <c r="P20" s="89"/>
      <c r="Q20" s="85"/>
      <c r="R20" s="98"/>
    </row>
    <row r="21" spans="1:18" ht="18.75" customHeight="1" x14ac:dyDescent="0.25">
      <c r="A21" s="148"/>
      <c r="B21" s="142"/>
      <c r="C21" s="143"/>
      <c r="D21" s="144"/>
      <c r="E21" s="145">
        <f t="shared" si="1"/>
        <v>0</v>
      </c>
      <c r="F21" s="132">
        <v>1</v>
      </c>
      <c r="G21" s="140">
        <f t="shared" si="0"/>
        <v>0</v>
      </c>
      <c r="H21" s="10"/>
      <c r="I21" s="94"/>
      <c r="J21" s="13"/>
      <c r="K21" s="104"/>
      <c r="L21" s="94"/>
      <c r="M21" s="89"/>
      <c r="N21" s="89"/>
      <c r="O21" s="89"/>
      <c r="P21" s="89"/>
      <c r="Q21" s="85"/>
      <c r="R21" s="98"/>
    </row>
    <row r="22" spans="1:18" ht="18.75" customHeight="1" x14ac:dyDescent="0.25">
      <c r="A22" s="147"/>
      <c r="B22" s="11"/>
      <c r="C22" s="12"/>
      <c r="D22" s="32"/>
      <c r="E22" s="115">
        <f t="shared" si="1"/>
        <v>0</v>
      </c>
      <c r="F22" s="132">
        <v>1</v>
      </c>
      <c r="G22" s="137"/>
      <c r="H22" s="10"/>
      <c r="I22" s="94"/>
      <c r="J22" s="13"/>
      <c r="K22" s="104"/>
      <c r="L22" s="94"/>
      <c r="M22" s="89"/>
      <c r="N22" s="89"/>
      <c r="O22" s="89"/>
      <c r="P22" s="89"/>
      <c r="Q22" s="85"/>
      <c r="R22" s="98"/>
    </row>
    <row r="23" spans="1:18" ht="18.75" customHeight="1" x14ac:dyDescent="0.25">
      <c r="A23" s="147"/>
      <c r="B23" s="11"/>
      <c r="C23" s="12"/>
      <c r="D23" s="32"/>
      <c r="E23" s="115">
        <f t="shared" si="1"/>
        <v>0</v>
      </c>
      <c r="F23" s="132">
        <v>1</v>
      </c>
      <c r="G23" s="79"/>
      <c r="H23" s="10"/>
      <c r="I23" s="94"/>
      <c r="J23" s="13"/>
      <c r="K23" s="104"/>
      <c r="L23" s="94"/>
      <c r="M23" s="89"/>
      <c r="N23" s="89"/>
      <c r="O23" s="89"/>
      <c r="P23" s="89"/>
      <c r="Q23" s="85"/>
      <c r="R23" s="98"/>
    </row>
    <row r="24" spans="1:18" ht="18.75" customHeight="1" x14ac:dyDescent="0.25">
      <c r="A24" s="147"/>
      <c r="B24" s="11"/>
      <c r="C24" s="12"/>
      <c r="D24" s="32"/>
      <c r="E24" s="115">
        <f t="shared" si="1"/>
        <v>0</v>
      </c>
      <c r="F24" s="132">
        <v>1</v>
      </c>
      <c r="G24" s="79"/>
      <c r="H24" s="10"/>
      <c r="I24" s="94"/>
      <c r="J24" s="13"/>
      <c r="K24" s="104"/>
      <c r="L24" s="94"/>
      <c r="M24" s="89"/>
      <c r="N24" s="89"/>
      <c r="O24" s="89"/>
      <c r="P24" s="89"/>
      <c r="Q24" s="85"/>
      <c r="R24" s="98"/>
    </row>
    <row r="25" spans="1:18" ht="18.75" customHeight="1" x14ac:dyDescent="0.25">
      <c r="A25" s="147"/>
      <c r="B25" s="11"/>
      <c r="C25" s="12"/>
      <c r="D25" s="32"/>
      <c r="E25" s="115">
        <f t="shared" si="1"/>
        <v>0</v>
      </c>
      <c r="F25" s="132">
        <v>1</v>
      </c>
      <c r="G25" s="79"/>
      <c r="H25" s="10"/>
      <c r="I25" s="94"/>
      <c r="J25" s="13"/>
      <c r="K25" s="104"/>
      <c r="L25" s="94"/>
      <c r="M25" s="89"/>
      <c r="N25" s="89"/>
      <c r="O25" s="89"/>
      <c r="P25" s="89"/>
      <c r="Q25" s="85"/>
      <c r="R25" s="98"/>
    </row>
    <row r="26" spans="1:18" ht="18.75" customHeight="1" x14ac:dyDescent="0.25">
      <c r="A26" s="147"/>
      <c r="B26" s="11"/>
      <c r="C26" s="12"/>
      <c r="D26" s="32"/>
      <c r="E26" s="115">
        <f t="shared" si="1"/>
        <v>0</v>
      </c>
      <c r="F26" s="132">
        <v>1</v>
      </c>
      <c r="G26" s="79"/>
      <c r="H26" s="10"/>
      <c r="I26" s="94"/>
      <c r="J26" s="13"/>
      <c r="K26" s="104"/>
      <c r="L26" s="94"/>
      <c r="M26" s="89"/>
      <c r="N26" s="89"/>
      <c r="O26" s="89"/>
      <c r="P26" s="89"/>
      <c r="Q26" s="85"/>
      <c r="R26" s="98"/>
    </row>
    <row r="27" spans="1:18" ht="18.75" customHeight="1" x14ac:dyDescent="0.25">
      <c r="A27" s="147"/>
      <c r="B27" s="11"/>
      <c r="C27" s="12"/>
      <c r="D27" s="32"/>
      <c r="E27" s="115">
        <f t="shared" si="1"/>
        <v>0</v>
      </c>
      <c r="F27" s="132">
        <v>1</v>
      </c>
      <c r="G27" s="79"/>
      <c r="H27" s="10"/>
      <c r="I27" s="94"/>
      <c r="J27" s="13"/>
      <c r="K27" s="104"/>
      <c r="L27" s="94"/>
      <c r="M27" s="89"/>
      <c r="N27" s="89"/>
      <c r="O27" s="89"/>
      <c r="P27" s="89"/>
      <c r="Q27" s="85"/>
      <c r="R27" s="98"/>
    </row>
    <row r="28" spans="1:18" ht="18.75" customHeight="1" thickBot="1" x14ac:dyDescent="0.3">
      <c r="A28" s="149"/>
      <c r="B28" s="14"/>
      <c r="C28" s="15"/>
      <c r="D28" s="67"/>
      <c r="E28" s="116">
        <f t="shared" si="1"/>
        <v>0</v>
      </c>
      <c r="F28" s="133">
        <v>1</v>
      </c>
      <c r="G28" s="80"/>
      <c r="H28" s="10"/>
      <c r="I28" s="95"/>
      <c r="J28" s="16"/>
      <c r="K28" s="105"/>
      <c r="L28" s="95"/>
      <c r="M28" s="90"/>
      <c r="N28" s="90"/>
      <c r="O28" s="90"/>
      <c r="P28" s="90"/>
      <c r="Q28" s="86"/>
      <c r="R28" s="99"/>
    </row>
    <row r="29" spans="1:18" ht="22.2" customHeight="1" thickBot="1" x14ac:dyDescent="0.3">
      <c r="A29" s="165" t="s">
        <v>57</v>
      </c>
      <c r="B29" s="166"/>
      <c r="C29" s="167"/>
      <c r="D29" s="78"/>
      <c r="E29" s="65">
        <f>SUM(E14:E28)</f>
        <v>347.1</v>
      </c>
      <c r="F29" s="134"/>
      <c r="G29" s="123">
        <f>SUM(G14:G28)</f>
        <v>347.1</v>
      </c>
      <c r="H29" s="17"/>
      <c r="I29" s="65">
        <f t="shared" ref="I29:Q29" si="2">SUM(I14:I28)</f>
        <v>0</v>
      </c>
      <c r="J29" s="109">
        <f t="shared" si="2"/>
        <v>247.10000000000002</v>
      </c>
      <c r="K29" s="87">
        <f t="shared" si="2"/>
        <v>0</v>
      </c>
      <c r="L29" s="65">
        <f t="shared" si="2"/>
        <v>0</v>
      </c>
      <c r="M29" s="33">
        <f t="shared" si="2"/>
        <v>0</v>
      </c>
      <c r="N29" s="33">
        <f t="shared" si="2"/>
        <v>0</v>
      </c>
      <c r="O29" s="33">
        <f t="shared" si="2"/>
        <v>0</v>
      </c>
      <c r="P29" s="33">
        <f t="shared" si="2"/>
        <v>100</v>
      </c>
      <c r="Q29" s="87">
        <f t="shared" si="2"/>
        <v>0</v>
      </c>
      <c r="R29" s="66"/>
    </row>
    <row r="30" spans="1:18" ht="22.2" customHeight="1" thickBot="1" x14ac:dyDescent="0.3">
      <c r="A30" s="163" t="s">
        <v>58</v>
      </c>
      <c r="B30" s="164"/>
      <c r="C30" s="164"/>
      <c r="D30" s="78"/>
      <c r="E30" s="117">
        <v>0</v>
      </c>
      <c r="F30" s="135"/>
      <c r="G30" s="124"/>
      <c r="H30" s="2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 ht="22.2" customHeight="1" thickBot="1" x14ac:dyDescent="0.3">
      <c r="A31" s="163" t="s">
        <v>59</v>
      </c>
      <c r="B31" s="164"/>
      <c r="C31" s="164"/>
      <c r="D31" s="78"/>
      <c r="E31" s="65">
        <f>+E29-E30</f>
        <v>347.1</v>
      </c>
      <c r="F31" s="134"/>
      <c r="G31" s="125"/>
      <c r="H31" s="2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 ht="13.8" thickBo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 ht="19.5" customHeight="1" x14ac:dyDescent="0.25">
      <c r="A33" s="47" t="s">
        <v>37</v>
      </c>
      <c r="B33" s="48"/>
      <c r="C33" s="49"/>
      <c r="D33" s="47" t="s">
        <v>38</v>
      </c>
      <c r="E33" s="50"/>
      <c r="F33" s="51"/>
      <c r="G33" s="47" t="s">
        <v>39</v>
      </c>
      <c r="H33" s="48"/>
      <c r="I33" s="48"/>
      <c r="J33" s="48"/>
      <c r="K33" s="47" t="s">
        <v>60</v>
      </c>
      <c r="L33" s="48"/>
      <c r="M33" s="48"/>
      <c r="N33" s="49"/>
      <c r="O33" s="52" t="s">
        <v>43</v>
      </c>
      <c r="P33" s="53"/>
      <c r="Q33" s="53"/>
      <c r="R33" s="25"/>
    </row>
    <row r="34" spans="1:18" ht="23.25" customHeight="1" x14ac:dyDescent="0.25">
      <c r="A34" s="68"/>
      <c r="B34" s="69"/>
      <c r="C34" s="70"/>
      <c r="D34" s="71"/>
      <c r="E34" s="72"/>
      <c r="F34" s="73"/>
      <c r="G34" s="68"/>
      <c r="H34" s="69"/>
      <c r="I34" s="69"/>
      <c r="J34" s="69"/>
      <c r="K34" s="68"/>
      <c r="L34" s="69"/>
      <c r="M34" s="69"/>
      <c r="N34" s="70"/>
      <c r="O34" s="74"/>
      <c r="P34" s="75"/>
      <c r="Q34" s="75"/>
      <c r="R34" s="76"/>
    </row>
    <row r="35" spans="1:18" ht="23.25" customHeight="1" x14ac:dyDescent="0.25">
      <c r="A35" s="68"/>
      <c r="B35" s="69"/>
      <c r="C35" s="70"/>
      <c r="D35" s="71"/>
      <c r="E35" s="72"/>
      <c r="F35" s="73"/>
      <c r="G35" s="68"/>
      <c r="H35" s="69"/>
      <c r="I35" s="69"/>
      <c r="J35" s="69"/>
      <c r="K35" s="68"/>
      <c r="L35" s="69"/>
      <c r="M35" s="69"/>
      <c r="N35" s="77"/>
      <c r="O35" s="74"/>
      <c r="P35" s="75"/>
      <c r="Q35" s="75"/>
      <c r="R35" s="76"/>
    </row>
    <row r="36" spans="1:18" ht="23.25" customHeight="1" x14ac:dyDescent="0.25">
      <c r="A36" s="68"/>
      <c r="B36" s="69"/>
      <c r="C36" s="70"/>
      <c r="D36" s="71"/>
      <c r="E36" s="72"/>
      <c r="F36" s="73"/>
      <c r="G36" s="68"/>
      <c r="H36" s="69"/>
      <c r="I36" s="69"/>
      <c r="J36" s="69"/>
      <c r="K36" s="68"/>
      <c r="L36" s="69"/>
      <c r="M36" s="69"/>
      <c r="N36" s="77"/>
      <c r="O36" s="74"/>
      <c r="P36" s="75"/>
      <c r="Q36" s="75"/>
      <c r="R36" s="76"/>
    </row>
    <row r="37" spans="1:18" ht="21.75" customHeight="1" thickBot="1" x14ac:dyDescent="0.3">
      <c r="A37" s="54" t="s">
        <v>42</v>
      </c>
      <c r="B37" s="55"/>
      <c r="C37" s="56"/>
      <c r="D37" s="156" t="s">
        <v>42</v>
      </c>
      <c r="E37" s="157"/>
      <c r="F37" s="158"/>
      <c r="G37" s="54" t="s">
        <v>42</v>
      </c>
      <c r="H37" s="55"/>
      <c r="I37" s="55"/>
      <c r="J37" s="55"/>
      <c r="K37" s="57" t="s">
        <v>40</v>
      </c>
      <c r="L37" s="58"/>
      <c r="M37" s="55"/>
      <c r="N37" s="56"/>
      <c r="O37" s="57" t="s">
        <v>42</v>
      </c>
      <c r="P37" s="58"/>
      <c r="Q37" s="58"/>
      <c r="R37" s="27"/>
    </row>
    <row r="38" spans="1:18" ht="13.8" x14ac:dyDescent="0.25">
      <c r="A38" s="26"/>
      <c r="B38" s="28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</row>
    <row r="39" spans="1:18" x14ac:dyDescent="0.25">
      <c r="A39" s="18" t="s">
        <v>6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</row>
    <row r="40" spans="1:18" x14ac:dyDescent="0.25">
      <c r="A40" s="34" t="s">
        <v>64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</row>
    <row r="41" spans="1:18" x14ac:dyDescent="0.25">
      <c r="A41" s="34" t="s">
        <v>62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</row>
    <row r="42" spans="1:18" x14ac:dyDescent="0.25">
      <c r="A42" s="34" t="s">
        <v>63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</row>
    <row r="43" spans="1:18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</row>
    <row r="49" spans="2:3" x14ac:dyDescent="0.25">
      <c r="C49" s="20"/>
    </row>
    <row r="50" spans="2:3" x14ac:dyDescent="0.25">
      <c r="C50" s="21"/>
    </row>
    <row r="51" spans="2:3" x14ac:dyDescent="0.25">
      <c r="C51" s="21"/>
    </row>
    <row r="52" spans="2:3" x14ac:dyDescent="0.25">
      <c r="C52" s="21"/>
    </row>
    <row r="53" spans="2:3" x14ac:dyDescent="0.25">
      <c r="C53" s="21"/>
    </row>
    <row r="54" spans="2:3" x14ac:dyDescent="0.25">
      <c r="C54" s="21"/>
    </row>
    <row r="59" spans="2:3" x14ac:dyDescent="0.25">
      <c r="B59" s="22"/>
    </row>
    <row r="65" spans="2:2" x14ac:dyDescent="0.25">
      <c r="B65" s="22"/>
    </row>
  </sheetData>
  <sheetProtection sheet="1" formatCells="0"/>
  <dataConsolidate/>
  <mergeCells count="18">
    <mergeCell ref="A1:C3"/>
    <mergeCell ref="A6:B6"/>
    <mergeCell ref="D6:E6"/>
    <mergeCell ref="I10:K10"/>
    <mergeCell ref="G7:H7"/>
    <mergeCell ref="G6:H6"/>
    <mergeCell ref="I6:L6"/>
    <mergeCell ref="I7:L7"/>
    <mergeCell ref="I9:R9"/>
    <mergeCell ref="A4:C4"/>
    <mergeCell ref="M6:R6"/>
    <mergeCell ref="D37:F37"/>
    <mergeCell ref="D7:E7"/>
    <mergeCell ref="A7:B7"/>
    <mergeCell ref="M7:R7"/>
    <mergeCell ref="A30:C30"/>
    <mergeCell ref="A31:C31"/>
    <mergeCell ref="A29:C29"/>
  </mergeCells>
  <phoneticPr fontId="3" type="noConversion"/>
  <dataValidations count="2">
    <dataValidation type="list" allowBlank="1" showInputMessage="1" showErrorMessage="1" sqref="D7:E7" xr:uid="{3571D83E-B789-439C-87AE-310BC4AE108F}">
      <formula1>$O$1:$O$3</formula1>
    </dataValidation>
    <dataValidation type="list" allowBlank="1" showInputMessage="1" showErrorMessage="1" sqref="R14:R28" xr:uid="{B26C4184-424F-4CD9-B868-DECB1E0F6E82}">
      <formula1>$N$1:$N$2</formula1>
    </dataValidation>
  </dataValidations>
  <printOptions horizontalCentered="1" verticalCentered="1"/>
  <pageMargins left="0.11811023622047245" right="0.11811023622047245" top="0.19685039370078741" bottom="0.15748031496062992" header="0.11811023622047245" footer="0.11811023622047245"/>
  <pageSetup paperSize="9" scale="69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21672242EDDC48A92AC4A0E1E58AA4" ma:contentTypeVersion="17" ma:contentTypeDescription="Create a new document." ma:contentTypeScope="" ma:versionID="204e51d9c5faf511c2552214d3bc0783">
  <xsd:schema xmlns:xsd="http://www.w3.org/2001/XMLSchema" xmlns:xs="http://www.w3.org/2001/XMLSchema" xmlns:p="http://schemas.microsoft.com/office/2006/metadata/properties" xmlns:ns2="fc38f291-52e0-484e-9e6c-3672ff369b58" xmlns:ns3="c01706b5-a005-4e6b-b364-f489d7fa4411" xmlns:ns4="31583c00-91dc-4cbc-a08d-eb44bc0cfc09" targetNamespace="http://schemas.microsoft.com/office/2006/metadata/properties" ma:root="true" ma:fieldsID="6b6b842b5ba8469cc5188c7f9d0c7400" ns2:_="" ns3:_="" ns4:_="">
    <xsd:import namespace="fc38f291-52e0-484e-9e6c-3672ff369b58"/>
    <xsd:import namespace="c01706b5-a005-4e6b-b364-f489d7fa4411"/>
    <xsd:import namespace="31583c00-91dc-4cbc-a08d-eb44bc0cfc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38f291-52e0-484e-9e6c-3672ff369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03b1389-14e1-41a5-be6c-9f77b12621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1706b5-a005-4e6b-b364-f489d7fa441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83c00-91dc-4cbc-a08d-eb44bc0cfc0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9acca9d9-5632-4cc9-b5b6-6ca1edacea1d}" ma:internalName="TaxCatchAll" ma:showField="CatchAllData" ma:web="c01706b5-a005-4e6b-b364-f489d7fa44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583c00-91dc-4cbc-a08d-eb44bc0cfc09"/>
    <lcf76f155ced4ddcb4097134ff3c332f xmlns="fc38f291-52e0-484e-9e6c-3672ff369b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9F686C-0A20-4F4A-A447-8218C1F35D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38f291-52e0-484e-9e6c-3672ff369b58"/>
    <ds:schemaRef ds:uri="c01706b5-a005-4e6b-b364-f489d7fa4411"/>
    <ds:schemaRef ds:uri="31583c00-91dc-4cbc-a08d-eb44bc0cfc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D8A1A0-01CE-4864-ADD1-FBD7CA14B4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357632-8E14-4EB2-9CCB-5538772FFFE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Expenses Claim费用报销单</vt:lpstr>
      <vt:lpstr>'Expenses Claim费用报销单'!Print_Area</vt:lpstr>
    </vt:vector>
  </TitlesOfParts>
  <Company>KONE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chnypwan</dc:creator>
  <cp:lastModifiedBy>Li Chong</cp:lastModifiedBy>
  <cp:lastPrinted>2025-11-17T01:52:25Z</cp:lastPrinted>
  <dcterms:created xsi:type="dcterms:W3CDTF">2010-12-09T01:51:20Z</dcterms:created>
  <dcterms:modified xsi:type="dcterms:W3CDTF">2026-04-20T07:01:09Z</dcterms:modified>
</cp:coreProperties>
</file>